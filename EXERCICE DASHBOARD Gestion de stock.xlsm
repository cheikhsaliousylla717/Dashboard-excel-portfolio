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slicers/slicer2.xml" ContentType="application/vnd.ms-excel.slicer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D0DA44AF6A507CA0/Documents/"/>
    </mc:Choice>
  </mc:AlternateContent>
  <xr:revisionPtr revIDLastSave="2154" documentId="8_{6B7330DD-1CBA-4AE9-9A44-7840AC8E5980}" xr6:coauthVersionLast="47" xr6:coauthVersionMax="47" xr10:uidLastSave="{FA077FAA-161A-43BA-B03A-3B17ABEFB887}"/>
  <bookViews>
    <workbookView xWindow="-120" yWindow="-120" windowWidth="20730" windowHeight="11040" firstSheet="1" activeTab="2" xr2:uid="{00000000-000D-0000-FFFF-FFFF00000000}"/>
  </bookViews>
  <sheets>
    <sheet name="Opérations" sheetId="8" r:id="rId1"/>
    <sheet name="Marchandises" sheetId="9" r:id="rId2"/>
    <sheet name="tableau de board" sheetId="15" r:id="rId3"/>
    <sheet name="Entrées" sheetId="10" r:id="rId4"/>
    <sheet name="Sorties" sheetId="11" r:id="rId5"/>
    <sheet name="Inventaire " sheetId="12" r:id="rId6"/>
    <sheet name="traitement" sheetId="14" r:id="rId7"/>
  </sheets>
  <definedNames>
    <definedName name="_xlcn.WorksheetConnection_EXERCICEDASHBOARDGestiondestock.xlsmmois" hidden="1">mois[]</definedName>
    <definedName name="_xlcn.WorksheetConnection_Gestiondestock.xlsmCategorie" hidden="1">Categorie[]</definedName>
    <definedName name="_xlcn.WorksheetConnection_Gestiondestock.xlsmlesCategories" hidden="1">lesCategories</definedName>
    <definedName name="_xlcn.WorksheetConnection_Gestiondestock.xlsmlesMois" hidden="1">lesMois</definedName>
    <definedName name="_xlcn.WorksheetConnection_Gestiondestock.xlsmlesReferences" hidden="1">lesReferences</definedName>
    <definedName name="_xlcn.WorksheetConnection_Gestiondestock.xlsmlisteAchats" hidden="1">listeAchats[]</definedName>
    <definedName name="_xlcn.WorksheetConnection_Gestiondestock.xlsmlisteVentes" hidden="1">listeVentes[]</definedName>
    <definedName name="Segment_Categories">#N/A</definedName>
    <definedName name="Segment_Mois">#N/A</definedName>
    <definedName name="Segment_Références">#N/A</definedName>
  </definedNames>
  <calcPr calcId="191029"/>
  <pivotCaches>
    <pivotCache cacheId="0" r:id="rId8"/>
    <pivotCache cacheId="1" r:id="rId9"/>
    <pivotCache cacheId="2" r:id="rId10"/>
    <pivotCache cacheId="3" r:id="rId11"/>
    <pivotCache cacheId="4" r:id="rId12"/>
    <pivotCache cacheId="5" r:id="rId13"/>
    <pivotCache cacheId="6" r:id="rId14"/>
    <pivotCache cacheId="7" r:id="rId15"/>
    <pivotCache cacheId="8" r:id="rId16"/>
    <pivotCache cacheId="9" r:id="rId17"/>
    <pivotCache cacheId="10" r:id="rId18"/>
    <pivotCache cacheId="11" r:id="rId19"/>
  </pivotCaches>
  <extLst>
    <ext xmlns:x14="http://schemas.microsoft.com/office/spreadsheetml/2009/9/main" uri="{876F7934-8845-4945-9796-88D515C7AA90}">
      <x14:pivotCaches>
        <pivotCache cacheId="12" r:id="rId20"/>
      </x14:pivotCaches>
    </ex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isteVentes" name="listeVentes" connection="WorksheetConnection_Gestion de stock.xlsm!listeVentes"/>
          <x15:modelTable id="listeAchats" name="listeAchats" connection="WorksheetConnection_Gestion de stock.xlsm!listeAchats"/>
          <x15:modelTable id="lesReferences" name="lesReferences" connection="WorksheetConnection_Gestion de stock.xlsm!lesReferences"/>
          <x15:modelTable id="lesMois" name="lesMois" connection="WorksheetConnection_Gestion de stock.xlsm!lesMois"/>
          <x15:modelTable id="lesCategories" name="lesCategories" connection="WorksheetConnection_Gestion de stock.xlsm!lesCategories"/>
          <x15:modelTable id="Categorie" name="Categorie" connection="WorksheetConnection_Gestion de stock.xlsm!Categorie"/>
          <x15:modelTable id="mois" name="mois" connection="WorksheetConnection_EXERCICE DASHBOARD Gestion de stock.xlsm!mois"/>
        </x15:modelTables>
        <x15:modelRelationships>
          <x15:modelRelationship fromTable="listeAchats" fromColumn="Catégorie" toTable="lesCategories" toColumn="Catégories"/>
          <x15:modelRelationship fromTable="listeAchats" fromColumn="Référence" toTable="lesReferences" toColumn="Références"/>
          <x15:modelRelationship fromTable="listeAchats" fromColumn="Date (mois)" toTable="lesMois" toColumn="Mois"/>
          <x15:modelRelationship fromTable="listeAchats" fromColumn="Date (mois)" toTable="mois" toColumn="Mois"/>
          <x15:modelRelationship fromTable="listeVentes" fromColumn="Catégorie" toTable="lesCategories" toColumn="Catégories"/>
          <x15:modelRelationship fromTable="listeVentes" fromColumn="Référence" toTable="lesReferences" toColumn="Références"/>
          <x15:modelRelationship fromTable="listeVentes" fromColumn="Date (mois)" toTable="lesMois" toColumn="Mois"/>
          <x15:modelRelationship fromTable="listeVentes" fromColumn="Catégorie" toTable="Categorie" toColumn="Categories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listeAchat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  <x16:modelTimeGrouping tableName="listeVente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3" i="14" l="1"/>
  <c r="E103" i="14"/>
  <c r="F103" i="14" s="1"/>
  <c r="D104" i="14"/>
  <c r="E104" i="14" s="1"/>
  <c r="F104" i="14" s="1"/>
  <c r="D105" i="14"/>
  <c r="E105" i="14" s="1"/>
  <c r="F105" i="14" s="1"/>
  <c r="F66" i="14"/>
  <c r="F67" i="14"/>
  <c r="F68" i="14"/>
  <c r="F69" i="14"/>
  <c r="F65" i="14"/>
  <c r="F56" i="14"/>
  <c r="F57" i="14"/>
  <c r="F58" i="14"/>
  <c r="F59" i="14"/>
  <c r="F55" i="14"/>
  <c r="C55" i="14" a="1"/>
  <c r="C55" i="14" s="1"/>
  <c r="C7" i="10"/>
  <c r="K7" i="11"/>
  <c r="K7" i="10"/>
  <c r="K8" i="11"/>
  <c r="K8" i="10"/>
  <c r="G66" i="14" l="1"/>
  <c r="G69" i="14"/>
  <c r="G68" i="14"/>
  <c r="G67" i="14"/>
  <c r="G65" i="14"/>
  <c r="G57" i="14"/>
  <c r="G56" i="14"/>
  <c r="G59" i="14"/>
  <c r="G58" i="14"/>
  <c r="G55" i="14"/>
  <c r="K9" i="11"/>
  <c r="D6" i="12"/>
  <c r="E6" i="12"/>
  <c r="F6" i="12"/>
  <c r="G6" i="12"/>
  <c r="H6" i="12"/>
  <c r="I6" i="12"/>
  <c r="J6" i="12"/>
  <c r="D7" i="12"/>
  <c r="E7" i="12"/>
  <c r="F7" i="12"/>
  <c r="G7" i="12"/>
  <c r="H7" i="12"/>
  <c r="I7" i="12"/>
  <c r="J7" i="12"/>
  <c r="K6" i="12" l="1"/>
  <c r="K7" i="12"/>
  <c r="N7" i="12" s="1"/>
  <c r="E15" i="12"/>
  <c r="K10" i="11"/>
  <c r="N6" i="12" l="1"/>
  <c r="K11" i="11"/>
  <c r="K12" i="11"/>
  <c r="K13" i="11"/>
  <c r="K14" i="11"/>
  <c r="K15" i="11"/>
  <c r="K9" i="10"/>
  <c r="K10" i="10"/>
  <c r="K11" i="10"/>
  <c r="K12" i="10"/>
  <c r="K13" i="10"/>
  <c r="K16" i="11"/>
  <c r="K17" i="11"/>
  <c r="K18" i="11"/>
  <c r="K19" i="11"/>
  <c r="K20" i="11"/>
  <c r="K14" i="10"/>
  <c r="K15" i="10"/>
  <c r="K16" i="10"/>
  <c r="K17" i="10"/>
  <c r="K18" i="10"/>
  <c r="K21" i="11"/>
  <c r="K22" i="11"/>
  <c r="K23" i="11"/>
  <c r="K24" i="11"/>
  <c r="K25" i="11"/>
  <c r="K19" i="10"/>
  <c r="K20" i="10"/>
  <c r="K21" i="10"/>
  <c r="K22" i="10"/>
  <c r="K23" i="10"/>
  <c r="K26" i="11"/>
  <c r="K27" i="11"/>
  <c r="K28" i="11"/>
  <c r="K29" i="11"/>
  <c r="K30" i="11"/>
  <c r="K24" i="10"/>
  <c r="K25" i="10"/>
  <c r="K26" i="10"/>
  <c r="K27" i="10"/>
  <c r="K28" i="10"/>
  <c r="K31" i="11"/>
  <c r="K32" i="11"/>
  <c r="K33" i="11"/>
  <c r="K34" i="11"/>
  <c r="K35" i="11"/>
  <c r="K29" i="10"/>
  <c r="K30" i="10"/>
  <c r="K31" i="10"/>
  <c r="K32" i="10"/>
  <c r="K33" i="10"/>
  <c r="K36" i="11"/>
  <c r="K37" i="11"/>
  <c r="K38" i="11"/>
  <c r="K39" i="11"/>
  <c r="K40" i="11"/>
  <c r="K34" i="10"/>
  <c r="K35" i="10"/>
  <c r="K36" i="10"/>
  <c r="K37" i="10"/>
  <c r="K38" i="10"/>
  <c r="K41" i="11"/>
  <c r="K42" i="11"/>
  <c r="K43" i="11"/>
  <c r="K44" i="11"/>
  <c r="K39" i="10"/>
  <c r="K40" i="10"/>
  <c r="K41" i="10"/>
  <c r="K42" i="10"/>
  <c r="K43" i="10"/>
  <c r="K45" i="11"/>
  <c r="K46" i="11"/>
  <c r="K47" i="11"/>
  <c r="K48" i="11"/>
  <c r="K49" i="11"/>
  <c r="K50" i="11"/>
  <c r="K44" i="10"/>
  <c r="K45" i="10"/>
  <c r="K46" i="10"/>
  <c r="K47" i="10"/>
  <c r="K48" i="10"/>
  <c r="K51" i="11"/>
  <c r="K52" i="11"/>
  <c r="K53" i="11"/>
  <c r="K54" i="11"/>
  <c r="K55" i="11"/>
  <c r="K56" i="11"/>
  <c r="K57" i="11"/>
  <c r="K58" i="11"/>
  <c r="K59" i="11"/>
  <c r="K60" i="11"/>
  <c r="K61" i="11"/>
  <c r="K62" i="11"/>
  <c r="C62" i="11"/>
  <c r="C61" i="11" s="1"/>
  <c r="C60" i="11" s="1"/>
  <c r="C59" i="11" s="1"/>
  <c r="C58" i="11" s="1"/>
  <c r="C57" i="11" s="1"/>
  <c r="C56" i="11" s="1"/>
  <c r="C55" i="11" s="1"/>
  <c r="C54" i="11" s="1"/>
  <c r="C53" i="11" s="1"/>
  <c r="C52" i="11" s="1"/>
  <c r="C51" i="11" s="1"/>
  <c r="C50" i="11" s="1"/>
  <c r="C49" i="11" s="1"/>
  <c r="C48" i="11" s="1"/>
  <c r="C47" i="11" s="1"/>
  <c r="C46" i="11" s="1"/>
  <c r="C45" i="11" s="1"/>
  <c r="C44" i="11" s="1"/>
  <c r="C43" i="11" s="1"/>
  <c r="C42" i="11" s="1"/>
  <c r="C41" i="11" s="1"/>
  <c r="C40" i="11" s="1"/>
  <c r="C39" i="11" s="1"/>
  <c r="C38" i="11" s="1"/>
  <c r="C37" i="11" s="1"/>
  <c r="C36" i="11" s="1"/>
  <c r="C35" i="11" s="1"/>
  <c r="C34" i="11" s="1"/>
  <c r="C33" i="11" s="1"/>
  <c r="C32" i="11" s="1"/>
  <c r="C31" i="11" s="1"/>
  <c r="C30" i="11" s="1"/>
  <c r="C29" i="11" s="1"/>
  <c r="C28" i="11" s="1"/>
  <c r="C27" i="11" s="1"/>
  <c r="C26" i="11" s="1"/>
  <c r="C25" i="11" s="1"/>
  <c r="C24" i="11" s="1"/>
  <c r="C23" i="11" s="1"/>
  <c r="C22" i="11" s="1"/>
  <c r="C21" i="11" s="1"/>
  <c r="C20" i="11" s="1"/>
  <c r="C19" i="11" s="1"/>
  <c r="C18" i="11" s="1"/>
  <c r="C17" i="11" s="1"/>
  <c r="C16" i="11" s="1"/>
  <c r="C15" i="11" s="1"/>
  <c r="C14" i="11" s="1"/>
  <c r="C13" i="11" s="1"/>
  <c r="C12" i="11" s="1"/>
  <c r="C11" i="11" s="1"/>
  <c r="C10" i="11" s="1"/>
  <c r="C9" i="11" s="1"/>
  <c r="C8" i="11" s="1"/>
  <c r="C7" i="11" s="1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C61" i="10"/>
  <c r="C60" i="10" s="1"/>
  <c r="C59" i="10" s="1"/>
  <c r="C58" i="10" s="1"/>
  <c r="C57" i="10" s="1"/>
  <c r="C56" i="10" s="1"/>
  <c r="C55" i="10" s="1"/>
  <c r="C54" i="10" s="1"/>
  <c r="C53" i="10" s="1"/>
  <c r="C52" i="10" s="1"/>
  <c r="C51" i="10" s="1"/>
  <c r="C50" i="10" s="1"/>
  <c r="C49" i="10" s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C13" i="10" s="1"/>
  <c r="C12" i="10" s="1"/>
  <c r="C11" i="10" s="1"/>
  <c r="C10" i="10" s="1"/>
  <c r="C9" i="10" s="1"/>
  <c r="C8" i="10" s="1"/>
  <c r="J13" i="12"/>
  <c r="J14" i="12"/>
  <c r="J15" i="12"/>
  <c r="J16" i="12"/>
  <c r="I13" i="12"/>
  <c r="I14" i="12"/>
  <c r="I15" i="12"/>
  <c r="I16" i="12"/>
  <c r="H15" i="12"/>
  <c r="G15" i="12"/>
  <c r="F15" i="12"/>
  <c r="D15" i="12"/>
  <c r="J15" i="9"/>
  <c r="J16" i="9"/>
  <c r="J17" i="9"/>
  <c r="J18" i="9"/>
  <c r="J19" i="9"/>
  <c r="J20" i="9"/>
  <c r="J21" i="9"/>
  <c r="E8" i="12"/>
  <c r="H13" i="12"/>
  <c r="H14" i="12"/>
  <c r="H16" i="12"/>
  <c r="G13" i="12"/>
  <c r="G14" i="12"/>
  <c r="G16" i="12"/>
  <c r="F13" i="12"/>
  <c r="F14" i="12"/>
  <c r="F16" i="12"/>
  <c r="E13" i="12"/>
  <c r="E14" i="12"/>
  <c r="E16" i="12"/>
  <c r="D13" i="12"/>
  <c r="D14" i="12"/>
  <c r="D16" i="12"/>
  <c r="J8" i="12"/>
  <c r="J9" i="12"/>
  <c r="J10" i="12"/>
  <c r="J11" i="12"/>
  <c r="J12" i="12"/>
  <c r="I8" i="12"/>
  <c r="I9" i="12"/>
  <c r="I10" i="12"/>
  <c r="I11" i="12"/>
  <c r="I12" i="12"/>
  <c r="L7" i="12" l="1"/>
  <c r="M7" i="12" s="1"/>
  <c r="L14" i="12"/>
  <c r="L13" i="12"/>
  <c r="L12" i="12"/>
  <c r="L11" i="12"/>
  <c r="L16" i="12"/>
  <c r="L15" i="12"/>
  <c r="K15" i="12"/>
  <c r="K14" i="12"/>
  <c r="N14" i="12" s="1"/>
  <c r="K13" i="12"/>
  <c r="K16" i="12"/>
  <c r="H8" i="12"/>
  <c r="K8" i="12" s="1"/>
  <c r="H9" i="12"/>
  <c r="K9" i="12" s="1"/>
  <c r="H10" i="12"/>
  <c r="K10" i="12" s="1"/>
  <c r="H11" i="12"/>
  <c r="K11" i="12" s="1"/>
  <c r="H12" i="12"/>
  <c r="K12" i="12" s="1"/>
  <c r="G8" i="12"/>
  <c r="G9" i="12"/>
  <c r="G10" i="12"/>
  <c r="G11" i="12"/>
  <c r="G12" i="12"/>
  <c r="F8" i="12"/>
  <c r="F9" i="12"/>
  <c r="F10" i="12"/>
  <c r="F11" i="12"/>
  <c r="F12" i="12"/>
  <c r="E9" i="12"/>
  <c r="E10" i="12"/>
  <c r="E11" i="12"/>
  <c r="E12" i="12"/>
  <c r="D8" i="12"/>
  <c r="D9" i="12"/>
  <c r="D10" i="12"/>
  <c r="D11" i="12"/>
  <c r="D12" i="12"/>
  <c r="J22" i="9"/>
  <c r="L6" i="12" s="1"/>
  <c r="M6" i="12" s="1"/>
  <c r="J23" i="9"/>
  <c r="J24" i="9"/>
  <c r="J25" i="9"/>
  <c r="F9" i="9"/>
  <c r="K63" i="11"/>
  <c r="L8" i="12"/>
  <c r="M13" i="12" l="1"/>
  <c r="M12" i="12"/>
  <c r="M11" i="12"/>
  <c r="M16" i="12"/>
  <c r="M15" i="12"/>
  <c r="N13" i="12"/>
  <c r="N16" i="12"/>
  <c r="N15" i="12"/>
  <c r="M14" i="12"/>
  <c r="M8" i="12"/>
  <c r="N12" i="12"/>
  <c r="N11" i="12"/>
  <c r="N10" i="12"/>
  <c r="N9" i="12"/>
  <c r="N8" i="12"/>
  <c r="K66" i="11"/>
  <c r="K65" i="11"/>
  <c r="K64" i="11"/>
  <c r="K62" i="10"/>
  <c r="L9" i="12" s="1"/>
  <c r="M9" i="12" s="1"/>
  <c r="K63" i="10"/>
  <c r="L10" i="12" s="1"/>
  <c r="M10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73EF6F-8FA3-4245-A701-4909FB73811D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A9AE1A2-3AA2-435B-A89B-7F1A7BE66225}" name="WorksheetConnection_EXERCICE DASHBOARD Gestion de stock.xlsm!mois" type="102" refreshedVersion="8" minRefreshableVersion="5">
    <extLst>
      <ext xmlns:x15="http://schemas.microsoft.com/office/spreadsheetml/2010/11/main" uri="{DE250136-89BD-433C-8126-D09CA5730AF9}">
        <x15:connection id="mois">
          <x15:rangePr sourceName="_xlcn.WorksheetConnection_EXERCICEDASHBOARDGestiondestock.xlsmmois"/>
        </x15:connection>
      </ext>
    </extLst>
  </connection>
  <connection id="3" xr16:uid="{9546B87D-475A-41FF-A97B-36C8FA54BD12}" name="WorksheetConnection_Gestion de stock.xlsm!Categorie" type="102" refreshedVersion="8" minRefreshableVersion="5">
    <extLst>
      <ext xmlns:x15="http://schemas.microsoft.com/office/spreadsheetml/2010/11/main" uri="{DE250136-89BD-433C-8126-D09CA5730AF9}">
        <x15:connection id="Categorie">
          <x15:rangePr sourceName="_xlcn.WorksheetConnection_Gestiondestock.xlsmCategorie"/>
        </x15:connection>
      </ext>
    </extLst>
  </connection>
  <connection id="4" xr16:uid="{6DA2BBE7-5FFF-42D0-96E9-6425BF6E9C6A}" name="WorksheetConnection_Gestion de stock.xlsm!lesCategories" type="102" refreshedVersion="6" minRefreshableVersion="5">
    <extLst>
      <ext xmlns:x15="http://schemas.microsoft.com/office/spreadsheetml/2010/11/main" uri="{DE250136-89BD-433C-8126-D09CA5730AF9}">
        <x15:connection id="lesCategories">
          <x15:rangePr sourceName="_xlcn.WorksheetConnection_Gestiondestock.xlsmlesCategories"/>
        </x15:connection>
      </ext>
    </extLst>
  </connection>
  <connection id="5" xr16:uid="{9F90B5BD-2738-4FE8-A63F-417D428A9782}" name="WorksheetConnection_Gestion de stock.xlsm!lesMois" type="102" refreshedVersion="6" minRefreshableVersion="5">
    <extLst>
      <ext xmlns:x15="http://schemas.microsoft.com/office/spreadsheetml/2010/11/main" uri="{DE250136-89BD-433C-8126-D09CA5730AF9}">
        <x15:connection id="lesMois">
          <x15:rangePr sourceName="_xlcn.WorksheetConnection_Gestiondestock.xlsmlesMois"/>
        </x15:connection>
      </ext>
    </extLst>
  </connection>
  <connection id="6" xr16:uid="{03528C0E-25B5-4CEF-AB08-B74E3CF84EB3}" name="WorksheetConnection_Gestion de stock.xlsm!lesReferences" type="102" refreshedVersion="6" minRefreshableVersion="5">
    <extLst>
      <ext xmlns:x15="http://schemas.microsoft.com/office/spreadsheetml/2010/11/main" uri="{DE250136-89BD-433C-8126-D09CA5730AF9}">
        <x15:connection id="lesReferences">
          <x15:rangePr sourceName="_xlcn.WorksheetConnection_Gestiondestock.xlsmlesReferences"/>
        </x15:connection>
      </ext>
    </extLst>
  </connection>
  <connection id="7" xr16:uid="{D4278434-B34D-4E4F-B26B-AEC93FAAAA41}" name="WorksheetConnection_Gestion de stock.xlsm!listeAchats" type="102" refreshedVersion="6" minRefreshableVersion="5">
    <extLst>
      <ext xmlns:x15="http://schemas.microsoft.com/office/spreadsheetml/2010/11/main" uri="{DE250136-89BD-433C-8126-D09CA5730AF9}">
        <x15:connection id="listeAchats">
          <x15:rangePr sourceName="_xlcn.WorksheetConnection_Gestiondestock.xlsmlisteAchats"/>
        </x15:connection>
      </ext>
    </extLst>
  </connection>
  <connection id="8" xr16:uid="{8A4DF0C2-07BF-439C-9DCF-BCAACFA7D594}" name="WorksheetConnection_Gestion de stock.xlsm!listeVentes" type="102" refreshedVersion="6" minRefreshableVersion="5">
    <extLst>
      <ext xmlns:x15="http://schemas.microsoft.com/office/spreadsheetml/2010/11/main" uri="{DE250136-89BD-433C-8126-D09CA5730AF9}">
        <x15:connection id="listeVentes">
          <x15:rangePr sourceName="_xlcn.WorksheetConnection_Gestiondestock.xlsmlisteVentes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<sst xmlns="http://schemas.openxmlformats.org/spreadsheetml/2006/main" count="719" uniqueCount="87">
  <si>
    <t>Désignation</t>
  </si>
  <si>
    <t>Quantité</t>
  </si>
  <si>
    <t>Date</t>
  </si>
  <si>
    <t>Seuil d'alerte</t>
  </si>
  <si>
    <t>Valeur</t>
  </si>
  <si>
    <t>Prix de vente</t>
  </si>
  <si>
    <t>Total</t>
  </si>
  <si>
    <t>Numéro</t>
  </si>
  <si>
    <t>Unité</t>
  </si>
  <si>
    <t>Prix unitaire</t>
  </si>
  <si>
    <t>Stock initial</t>
  </si>
  <si>
    <t>Stock final</t>
  </si>
  <si>
    <t>Entrées</t>
  </si>
  <si>
    <t>Sorties</t>
  </si>
  <si>
    <t>Référence</t>
  </si>
  <si>
    <t>Catégorie</t>
  </si>
  <si>
    <t>Statue</t>
  </si>
  <si>
    <r>
      <t xml:space="preserve">Nouvelle </t>
    </r>
    <r>
      <rPr>
        <b/>
        <sz val="14"/>
        <color rgb="FF51459E"/>
        <rFont val="Gilroy-Bold"/>
      </rPr>
      <t>opération</t>
    </r>
  </si>
  <si>
    <t>Oreo</t>
  </si>
  <si>
    <t xml:space="preserve">Biscuits </t>
  </si>
  <si>
    <t xml:space="preserve">1 unité </t>
  </si>
  <si>
    <t>Pack de 10 unités</t>
  </si>
  <si>
    <t>Pack de 20 unités</t>
  </si>
  <si>
    <t xml:space="preserve"> Total</t>
  </si>
  <si>
    <t xml:space="preserve">Unité </t>
  </si>
  <si>
    <t xml:space="preserve"> Seuil d'alerte</t>
  </si>
  <si>
    <t xml:space="preserve"> Stock initial</t>
  </si>
  <si>
    <t xml:space="preserve"> Prix unitaire</t>
  </si>
  <si>
    <t>Veuillez saisir les détaille de l'opération de vente ou d'achat</t>
  </si>
  <si>
    <t xml:space="preserve">Catégorie </t>
  </si>
  <si>
    <t xml:space="preserve">Désignation </t>
  </si>
  <si>
    <t xml:space="preserve">Référence  </t>
  </si>
  <si>
    <t>1 unité</t>
  </si>
  <si>
    <t xml:space="preserve">Quantité </t>
  </si>
  <si>
    <r>
      <rPr>
        <b/>
        <sz val="13"/>
        <color theme="1" tint="4.9989318521683403E-2"/>
        <rFont val="Gilroy-Bold"/>
      </rPr>
      <t>Détails d'</t>
    </r>
    <r>
      <rPr>
        <b/>
        <sz val="13"/>
        <color rgb="FF51459E"/>
        <rFont val="Gilroy-Bold"/>
      </rPr>
      <t>inventaire</t>
    </r>
  </si>
  <si>
    <t>C1</t>
  </si>
  <si>
    <t>C2</t>
  </si>
  <si>
    <t>CUMP</t>
  </si>
  <si>
    <t>E1</t>
  </si>
  <si>
    <t>E2</t>
  </si>
  <si>
    <t>E3</t>
  </si>
  <si>
    <t>E4</t>
  </si>
  <si>
    <r>
      <t xml:space="preserve">Nouvelle </t>
    </r>
    <r>
      <rPr>
        <b/>
        <sz val="14"/>
        <color rgb="FF51459E"/>
        <rFont val="Gilroy-Bold"/>
      </rPr>
      <t>marchandise</t>
    </r>
    <r>
      <rPr>
        <b/>
        <sz val="14"/>
        <color theme="1"/>
        <rFont val="Gilroy-Bold"/>
      </rPr>
      <t xml:space="preserve"> </t>
    </r>
  </si>
  <si>
    <r>
      <t xml:space="preserve">Liste des </t>
    </r>
    <r>
      <rPr>
        <b/>
        <sz val="14"/>
        <color rgb="FF51459E"/>
        <rFont val="Gilroy-Bold"/>
      </rPr>
      <t>marchandises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</si>
  <si>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r>
      <t xml:space="preserve">Liste des </t>
    </r>
    <r>
      <rPr>
        <b/>
        <sz val="14"/>
        <color rgb="FF51459E"/>
        <rFont val="Gilroy-Bold"/>
      </rPr>
      <t>entrées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</si>
  <si>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r>
      <t xml:space="preserve">Liste des </t>
    </r>
    <r>
      <rPr>
        <b/>
        <sz val="14"/>
        <color rgb="FF51459E"/>
        <rFont val="Gilroy-Bold"/>
      </rPr>
      <t>sorties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</si>
  <si>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t>Détails de toutes les transactions de sortie</t>
  </si>
  <si>
    <t>Détails de toutes les transactions d'entrée</t>
  </si>
  <si>
    <t>Veuillez saisir les informations de chaque marchandise</t>
  </si>
  <si>
    <t xml:space="preserve">PLAYSTATION PS5 </t>
  </si>
  <si>
    <t>NINTENDO SWITCH</t>
  </si>
  <si>
    <t>GOOGLE PIXEL 5</t>
  </si>
  <si>
    <t>S1</t>
  </si>
  <si>
    <t>S2</t>
  </si>
  <si>
    <t>B1</t>
  </si>
  <si>
    <t>B2</t>
  </si>
  <si>
    <t>B3</t>
  </si>
  <si>
    <t>Coût d'achat</t>
  </si>
  <si>
    <t>SmartPhone</t>
  </si>
  <si>
    <t>Consoles</t>
  </si>
  <si>
    <t>Electro</t>
  </si>
  <si>
    <t>Cuisinière CANDY</t>
  </si>
  <si>
    <t>Cuisinière SIERA</t>
  </si>
  <si>
    <t>Réfrigérateur SIERA</t>
  </si>
  <si>
    <t>Réfrigérateur WHIRLPOOL</t>
  </si>
  <si>
    <t xml:space="preserve">Réfrigérateur WHIRLPOOL </t>
  </si>
  <si>
    <t>IPHONE 13 PRO</t>
  </si>
  <si>
    <t>Somme de Stock final</t>
  </si>
  <si>
    <t>Total général</t>
  </si>
  <si>
    <t>Somme de Valeur</t>
  </si>
  <si>
    <t>Somme de Quantité</t>
  </si>
  <si>
    <t>Somme de Total</t>
  </si>
  <si>
    <t>Categories</t>
  </si>
  <si>
    <t>Reference</t>
  </si>
  <si>
    <t>janv</t>
  </si>
  <si>
    <t>févr</t>
  </si>
  <si>
    <t>mars</t>
  </si>
  <si>
    <t>avr</t>
  </si>
  <si>
    <t>mai</t>
  </si>
  <si>
    <t>Mois</t>
  </si>
  <si>
    <t>Étiquettes de lignes</t>
  </si>
  <si>
    <t>Biscuits</t>
  </si>
  <si>
    <t>somme de quantite 2</t>
  </si>
  <si>
    <t>Somme de Quantité2</t>
  </si>
  <si>
    <t>Somme de Total2</t>
  </si>
  <si>
    <t>(Plusieurs éléments)</t>
  </si>
  <si>
    <t>Dernier mise a jour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</si>
</sst>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* #,##0.00\ [$€-40C]_-;\-* #,##0.00\ [$€-40C]_-;_-* &quot;-&quot;??\ [$€-40C]_-;_-@_-"/>
    <numFmt numFmtId="165" formatCode="#,##0.00\ &quot;€&quot;"/>
    <numFmt numFmtId="166" formatCode="_-* #,##0\ &quot;€&quot;_-;\-* #,##0\ &quot;€&quot;_-;_-* &quot;-&quot;??\ &quot;€&quot;_-;_-@_-"/>
    <numFmt numFmtId="167" formatCode="_-* #,##0\ [$€-40C]_-;\-* #,##0\ [$€-40C]_-;_-* &quot;-&quot;??\ [$€-40C]_-;_-@_-"/>
  </numFmts>
  <fonts count="2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51459E"/>
      <name val="Calibri"/>
      <family val="2"/>
      <scheme val="minor"/>
    </font>
    <font>
      <sz val="11"/>
      <color rgb="FFFAFAFA"/>
      <name val="Calibri"/>
      <family val="2"/>
      <scheme val="minor"/>
    </font>
    <font>
      <b/>
      <sz val="11"/>
      <color theme="1"/>
      <name val="Open Sans"/>
      <family val="2"/>
    </font>
    <font>
      <b/>
      <sz val="14"/>
      <color theme="1"/>
      <name val="Gilroy-Bold"/>
    </font>
    <font>
      <b/>
      <sz val="14"/>
      <color rgb="FF51459E"/>
      <name val="Gilroy-Bold"/>
    </font>
    <font>
      <b/>
      <sz val="10"/>
      <color theme="1"/>
      <name val="Gilroy-SemiBold"/>
    </font>
    <font>
      <sz val="10"/>
      <color theme="1" tint="4.9989318521683403E-2"/>
      <name val="Gilroy-SemiBold"/>
    </font>
    <font>
      <sz val="8"/>
      <color theme="1"/>
      <name val="Gilroy-Medium"/>
    </font>
    <font>
      <b/>
      <sz val="10"/>
      <color theme="1" tint="4.9989318521683403E-2"/>
      <name val="Gilroy-SemiBold"/>
    </font>
    <font>
      <sz val="10"/>
      <color rgb="FF51459E"/>
      <name val="Gilroy-SemiBold"/>
    </font>
    <font>
      <sz val="11"/>
      <color rgb="FF51459E"/>
      <name val="Product Sans"/>
      <family val="2"/>
    </font>
    <font>
      <sz val="8"/>
      <name val="Calibri"/>
      <family val="2"/>
      <scheme val="minor"/>
    </font>
    <font>
      <b/>
      <sz val="12"/>
      <color theme="1"/>
      <name val="Gilroy-Bold"/>
    </font>
    <font>
      <b/>
      <sz val="13"/>
      <color theme="1"/>
      <name val="Gilroy-Bold"/>
    </font>
    <font>
      <b/>
      <sz val="13"/>
      <color rgb="FF51459E"/>
      <name val="Gilroy-Bold"/>
    </font>
    <font>
      <b/>
      <sz val="13"/>
      <color theme="1" tint="4.9989318521683403E-2"/>
      <name val="Gilroy-Bold"/>
    </font>
    <font>
      <sz val="9"/>
      <color theme="1" tint="4.9989318521683403E-2"/>
      <name val="Gilroy-Medium"/>
    </font>
    <font>
      <sz val="9"/>
      <color theme="1"/>
      <name val="Gilroy-SemiBold"/>
    </font>
    <font>
      <sz val="16"/>
      <color theme="1"/>
      <name val="Calibri"/>
      <family val="2"/>
      <scheme val="minor"/>
    </font>
    <font>
      <b/>
      <sz val="16"/>
      <color theme="1"/>
      <name val="Arial Rounded MT Bold"/>
      <family val="2"/>
    </font>
    <font>
      <sz val="11"/>
      <color theme="1"/>
      <name val="Arial Rounded MT Bold"/>
      <family val="2"/>
    </font>
  </fonts>
  <fills count="6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1459E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5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3" fillId="4" borderId="0" xfId="0" applyFont="1" applyFill="1"/>
    <xf numFmtId="0" fontId="0" fillId="4" borderId="0" xfId="0" applyFill="1"/>
    <xf numFmtId="0" fontId="4" fillId="2" borderId="0" xfId="0" applyFont="1" applyFill="1"/>
    <xf numFmtId="0" fontId="3" fillId="3" borderId="0" xfId="0" applyFont="1" applyFill="1"/>
    <xf numFmtId="0" fontId="5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/>
    </xf>
    <xf numFmtId="0" fontId="9" fillId="2" borderId="0" xfId="0" applyFont="1" applyFill="1" applyAlignment="1">
      <alignment horizontal="left" vertical="center"/>
    </xf>
    <xf numFmtId="0" fontId="10" fillId="3" borderId="0" xfId="0" applyFont="1" applyFill="1"/>
    <xf numFmtId="0" fontId="12" fillId="3" borderId="0" xfId="0" applyFont="1" applyFill="1" applyAlignment="1">
      <alignment vertical="center"/>
    </xf>
    <xf numFmtId="164" fontId="12" fillId="3" borderId="0" xfId="0" applyNumberFormat="1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164" fontId="12" fillId="3" borderId="1" xfId="0" applyNumberFormat="1" applyFont="1" applyFill="1" applyBorder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5" fillId="3" borderId="0" xfId="0" applyFont="1" applyFill="1"/>
    <xf numFmtId="0" fontId="19" fillId="3" borderId="0" xfId="0" applyFont="1" applyFill="1"/>
    <xf numFmtId="0" fontId="12" fillId="3" borderId="0" xfId="0" applyFont="1" applyFill="1" applyAlignment="1">
      <alignment horizontal="left" vertical="center" indent="1"/>
    </xf>
    <xf numFmtId="0" fontId="11" fillId="3" borderId="0" xfId="0" applyFont="1" applyFill="1" applyAlignment="1">
      <alignment horizontal="right" vertical="center" indent="1"/>
    </xf>
    <xf numFmtId="0" fontId="8" fillId="3" borderId="0" xfId="0" applyFont="1" applyFill="1" applyAlignment="1">
      <alignment horizontal="right" vertical="center" indent="1"/>
    </xf>
    <xf numFmtId="0" fontId="9" fillId="3" borderId="0" xfId="0" applyFont="1" applyFill="1" applyAlignment="1">
      <alignment horizontal="right" vertical="center" indent="1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center" vertical="center"/>
    </xf>
    <xf numFmtId="164" fontId="13" fillId="2" borderId="0" xfId="0" applyNumberFormat="1" applyFont="1" applyFill="1" applyAlignment="1">
      <alignment horizontal="center" vertical="center"/>
    </xf>
    <xf numFmtId="14" fontId="13" fillId="2" borderId="0" xfId="0" applyNumberFormat="1" applyFont="1" applyFill="1" applyAlignment="1">
      <alignment horizontal="left" vertical="center"/>
    </xf>
    <xf numFmtId="0" fontId="20" fillId="3" borderId="0" xfId="0" applyFont="1" applyFill="1" applyAlignment="1">
      <alignment horizontal="left" vertical="center"/>
    </xf>
    <xf numFmtId="164" fontId="13" fillId="2" borderId="0" xfId="0" applyNumberFormat="1" applyFont="1" applyFill="1" applyAlignment="1">
      <alignment horizontal="left" vertical="center"/>
    </xf>
    <xf numFmtId="14" fontId="0" fillId="3" borderId="0" xfId="0" applyNumberFormat="1" applyFill="1"/>
    <xf numFmtId="0" fontId="12" fillId="3" borderId="0" xfId="0" applyFont="1" applyFill="1" applyAlignment="1">
      <alignment horizontal="left" vertical="center"/>
    </xf>
    <xf numFmtId="164" fontId="12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0" fontId="0" fillId="2" borderId="0" xfId="0" applyFill="1" applyAlignment="1">
      <alignment horizontal="right"/>
    </xf>
    <xf numFmtId="164" fontId="12" fillId="3" borderId="0" xfId="0" applyNumberFormat="1" applyFont="1" applyFill="1" applyAlignment="1">
      <alignment horizontal="left" vertical="center"/>
    </xf>
    <xf numFmtId="0" fontId="13" fillId="2" borderId="5" xfId="0" applyFont="1" applyFill="1" applyBorder="1" applyAlignment="1">
      <alignment vertical="center"/>
    </xf>
    <xf numFmtId="164" fontId="13" fillId="2" borderId="5" xfId="0" applyNumberFormat="1" applyFont="1" applyFill="1" applyBorder="1" applyAlignment="1">
      <alignment vertical="center"/>
    </xf>
    <xf numFmtId="164" fontId="13" fillId="2" borderId="5" xfId="1" applyNumberFormat="1" applyFont="1" applyFill="1" applyBorder="1" applyAlignment="1">
      <alignment vertical="center"/>
    </xf>
    <xf numFmtId="164" fontId="0" fillId="2" borderId="0" xfId="0" applyNumberFormat="1" applyFill="1"/>
    <xf numFmtId="0" fontId="12" fillId="3" borderId="6" xfId="0" applyFont="1" applyFill="1" applyBorder="1" applyAlignment="1">
      <alignment horizontal="left" vertical="center" indent="1"/>
    </xf>
    <xf numFmtId="0" fontId="0" fillId="0" borderId="7" xfId="0" applyBorder="1"/>
    <xf numFmtId="0" fontId="0" fillId="5" borderId="0" xfId="0" applyFill="1"/>
    <xf numFmtId="0" fontId="0" fillId="0" borderId="0" xfId="0" pivotButton="1"/>
    <xf numFmtId="164" fontId="0" fillId="0" borderId="0" xfId="0" applyNumberFormat="1"/>
    <xf numFmtId="0" fontId="12" fillId="3" borderId="7" xfId="0" applyFont="1" applyFill="1" applyBorder="1" applyAlignment="1">
      <alignment horizontal="left" vertical="center"/>
    </xf>
    <xf numFmtId="165" fontId="0" fillId="0" borderId="0" xfId="0" applyNumberFormat="1"/>
    <xf numFmtId="0" fontId="0" fillId="0" borderId="0" xfId="0" applyAlignment="1">
      <alignment horizontal="left"/>
    </xf>
    <xf numFmtId="166" fontId="0" fillId="0" borderId="0" xfId="0" applyNumberFormat="1"/>
    <xf numFmtId="167" fontId="0" fillId="0" borderId="0" xfId="0" applyNumberFormat="1"/>
    <xf numFmtId="0" fontId="0" fillId="5" borderId="0" xfId="0" applyFill="1" applyAlignment="1">
      <alignment horizontal="right"/>
    </xf>
    <xf numFmtId="0" fontId="23" fillId="5" borderId="0" xfId="0" applyFont="1" applyFill="1"/>
    <xf numFmtId="0" fontId="22" fillId="5" borderId="0" xfId="0" applyFont="1" applyFill="1"/>
    <xf numFmtId="14" fontId="21" fillId="5" borderId="0" xfId="0" applyNumberFormat="1" applyFont="1" applyFill="1" applyAlignment="1">
      <alignment horizontal="left"/>
    </xf>
    <xf numFmtId="0" fontId="10" fillId="3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16" fillId="3" borderId="0" xfId="0" applyFont="1" applyFill="1" applyAlignment="1">
      <alignment horizontal="left"/>
    </xf>
    <xf numFmtId="0" fontId="19" fillId="3" borderId="0" xfId="0" applyFont="1" applyFill="1" applyAlignment="1">
      <alignment horizontal="left"/>
    </xf>
    <xf numFmtId="0" fontId="16" fillId="3" borderId="0" xfId="0" applyFont="1" applyFill="1" applyAlignment="1">
      <alignment horizontal="left" vertical="center"/>
    </xf>
  </cellXfs>
  <cellStyles count="2">
    <cellStyle name="Normal" xfId="0" builtinId="0"/>
    <cellStyle name="Pourcentage" xfId="1" builtinId="5"/>
  </cellStyles>
  <dxfs count="75">
    <dxf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Gilroy-SemiBold"/>
        <scheme val="none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numFmt numFmtId="165" formatCode="#,##0.00\ &quot;€&quot;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7" formatCode="_-* #,##0\ [$€-40C]_-;\-* #,##0\ [$€-40C]_-;_-* &quot;-&quot;??\ [$€-40C]_-;_-@_-"/>
    </dxf>
    <dxf>
      <numFmt numFmtId="167" formatCode="_-* #,##0\ [$€-40C]_-;\-* #,##0\ [$€-40C]_-;_-* &quot;-&quot;??\ [$€-40C]_-;_-@_-"/>
    </dxf>
    <dxf>
      <numFmt numFmtId="165" formatCode="#,##0.00\ &quot;€&quot;"/>
    </dxf>
    <dxf>
      <numFmt numFmtId="0" formatCode="General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7" formatCode="_-* #,##0\ [$€-40C]_-;\-* #,##0\ [$€-40C]_-;_-* &quot;-&quot;??\ [$€-40C]_-;_-@_-"/>
    </dxf>
    <dxf>
      <numFmt numFmtId="165" formatCode="#,##0.00\ &quot;€&quot;"/>
    </dxf>
    <dxf>
      <numFmt numFmtId="165" formatCode="#,##0.00\ &quot;€&quot;"/>
    </dxf>
    <dxf>
      <font>
        <strike val="0"/>
        <outline val="0"/>
        <shadow val="0"/>
        <u val="none"/>
        <vertAlign val="baseline"/>
        <sz val="10"/>
        <color rgb="FF51459E"/>
        <name val="Gilroy-SemiBold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color rgb="FFFF0000"/>
      </font>
    </dxf>
    <dxf>
      <font>
        <color rgb="FF01B300"/>
      </font>
    </dxf>
    <dxf>
      <font>
        <color rgb="FFFF7F00"/>
      </font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b/>
        <i val="0"/>
        <sz val="11"/>
        <color theme="1"/>
        <name val="Product Sans"/>
        <family val="2"/>
        <scheme val="none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1"/>
        <color theme="1"/>
        <name val="Product Sans"/>
        <family val="2"/>
        <scheme val="none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tyle 1" pivot="0" table="0" count="10" xr9:uid="{68B2A081-750C-4C21-A5DE-8D839AE1BF58}">
      <tableStyleElement type="wholeTable" dxfId="74"/>
      <tableStyleElement type="headerRow" dxfId="73"/>
    </tableStyle>
    <tableStyle name="Style2" pivot="0" table="0" count="10" xr9:uid="{7F652A90-6AE8-464D-AB54-7DFB6859E687}">
      <tableStyleElement type="wholeTable" dxfId="72"/>
      <tableStyleElement type="headerRow" dxfId="71"/>
    </tableStyle>
  </tableStyles>
  <colors>
    <mruColors>
      <color rgb="FF51459E"/>
      <color rgb="FFF2E9FF"/>
      <color rgb="FFFAFAFA"/>
      <color rgb="FF999999"/>
      <color rgb="FFA6A6A6"/>
      <color rgb="FFF5F5F5"/>
      <color rgb="FFFFFCF7"/>
      <color rgb="FFE2E2E2"/>
      <color rgb="FFFFFFFF"/>
      <color rgb="FFEEEEEE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theme="0"/>
            <name val="Gilroy-SemiBold"/>
            <scheme val="none"/>
          </font>
          <fill>
            <patternFill patternType="solid">
              <fgColor auto="1"/>
              <bgColor theme="0" tint="-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0"/>
            <color theme="0"/>
            <name val="Gilroy-SemiBold"/>
            <scheme val="none"/>
          </font>
          <fill>
            <patternFill patternType="solid">
              <fgColor auto="1"/>
              <bgColor theme="0" tint="-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theme="4" tint="-0.499984740745262"/>
            <name val="Gilroy-SemiBold"/>
            <scheme val="none"/>
          </font>
          <fill>
            <patternFill patternType="solid">
              <fgColor theme="4" tint="0.59999389629810485"/>
              <bgColor rgb="FFF5F5F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Gilroy-SemiBold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theme="4" tint="-0.499984740745262"/>
            <name val="Gilroy-SemiBold"/>
            <scheme val="none"/>
          </font>
          <fill>
            <patternFill patternType="solid">
              <fgColor theme="4"/>
              <bgColor rgb="FFFAFAFA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Gilroy-SemiBold"/>
            <scheme val="none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tyle 1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tyle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6.xml"/><Relationship Id="rId18" Type="http://schemas.openxmlformats.org/officeDocument/2006/relationships/pivotCacheDefinition" Target="pivotCache/pivotCacheDefinition11.xml"/><Relationship Id="rId26" Type="http://schemas.openxmlformats.org/officeDocument/2006/relationships/styles" Target="styles.xml"/><Relationship Id="rId21" Type="http://schemas.microsoft.com/office/2007/relationships/slicerCache" Target="slicerCaches/slicerCache1.xml"/><Relationship Id="rId34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pivotCacheDefinition" Target="pivotCache/pivotCacheDefinition10.xml"/><Relationship Id="rId25" Type="http://schemas.openxmlformats.org/officeDocument/2006/relationships/connections" Target="connections.xml"/><Relationship Id="rId33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9.xml"/><Relationship Id="rId20" Type="http://schemas.openxmlformats.org/officeDocument/2006/relationships/pivotCacheDefinition" Target="pivotCache/pivotCacheDefinition13.xml"/><Relationship Id="rId29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theme" Target="theme/theme1.xml"/><Relationship Id="rId32" Type="http://schemas.microsoft.com/office/2017/06/relationships/rdRichValueTypes" Target="richData/rdRichValueTyp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8.xml"/><Relationship Id="rId23" Type="http://schemas.microsoft.com/office/2007/relationships/slicerCache" Target="slicerCaches/slicerCache3.xml"/><Relationship Id="rId28" Type="http://schemas.openxmlformats.org/officeDocument/2006/relationships/sheetMetadata" Target="metadata.xml"/><Relationship Id="rId36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3.xml"/><Relationship Id="rId19" Type="http://schemas.openxmlformats.org/officeDocument/2006/relationships/pivotCacheDefinition" Target="pivotCache/pivotCacheDefinition12.xml"/><Relationship Id="rId31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Relationship Id="rId22" Type="http://schemas.microsoft.com/office/2007/relationships/slicerCache" Target="slicerCaches/slicerCache2.xml"/><Relationship Id="rId27" Type="http://schemas.openxmlformats.org/officeDocument/2006/relationships/sharedStrings" Target="sharedStrings.xml"/><Relationship Id="rId30" Type="http://schemas.microsoft.com/office/2017/06/relationships/rdRichValue" Target="richData/rdrichvalue.xml"/><Relationship Id="rId35" Type="http://schemas.openxmlformats.org/officeDocument/2006/relationships/calcChain" Target="calcChain.xml"/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stock.xlsm]traitement!stock valeur categorie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936882046933549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3287835726439458"/>
          <c:y val="0.12077524829783388"/>
          <c:w val="0.65634984665079543"/>
          <c:h val="0.62148699543280528"/>
        </c:manualLayout>
      </c:layout>
      <c:pieChart>
        <c:varyColors val="1"/>
        <c:ser>
          <c:idx val="0"/>
          <c:order val="0"/>
          <c:tx>
            <c:strRef>
              <c:f>traitement!$B$18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FE-4EB1-AA08-0E6F360A82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FE-4EB1-AA08-0E6F360A82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FFE-4EB1-AA08-0E6F360A82C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FFE-4EB1-AA08-0E6F360A82C8}"/>
              </c:ext>
            </c:extLst>
          </c:dPt>
          <c:dLbls>
            <c:dLbl>
              <c:idx val="0"/>
              <c:layout>
                <c:manualLayout>
                  <c:x val="-1.9368820469335496E-2"/>
                  <c:y val="0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FFE-4EB1-AA08-0E6F360A82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traitement!$A$19:$A$23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traitement!$B$19:$B$23</c:f>
              <c:numCache>
                <c:formatCode>_-* #\ ##0.00\ [$€-40C]_-;\-* #\ ##0.00\ [$€-40C]_-;_-* "-"??\ [$€-40C]_-;_-@_-</c:formatCode>
                <c:ptCount val="4"/>
                <c:pt idx="0">
                  <c:v>721.43523809523811</c:v>
                </c:pt>
                <c:pt idx="1">
                  <c:v>10588.6587366694</c:v>
                </c:pt>
                <c:pt idx="2">
                  <c:v>17750</c:v>
                </c:pt>
                <c:pt idx="3">
                  <c:v>25792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FE-4EB1-AA08-0E6F360A8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0654368094803169E-2"/>
          <c:y val="0.76155275415170331"/>
          <c:w val="0.84182870341828708"/>
          <c:h val="0.225630207019748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stock.xlsm]traitement!Tableau croisé dynamique7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5468952643220305"/>
          <c:y val="0.11576236855924467"/>
          <c:w val="0.57052107646774919"/>
          <c:h val="0.61844890896744298"/>
        </c:manualLayout>
      </c:layout>
      <c:pieChart>
        <c:varyColors val="1"/>
        <c:ser>
          <c:idx val="0"/>
          <c:order val="0"/>
          <c:tx>
            <c:strRef>
              <c:f>traitement!$B$11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605-43FF-B47E-00D1E6EE8F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05-43FF-B47E-00D1E6EE8F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605-43FF-B47E-00D1E6EE8F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605-43FF-B47E-00D1E6EE8F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traitement!$A$12:$A$16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traitement!$B$12:$B$16</c:f>
              <c:numCache>
                <c:formatCode>General</c:formatCode>
                <c:ptCount val="4"/>
                <c:pt idx="0">
                  <c:v>254</c:v>
                </c:pt>
                <c:pt idx="1">
                  <c:v>15</c:v>
                </c:pt>
                <c:pt idx="2">
                  <c:v>70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05-43FF-B47E-00D1E6EE8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273264805566594"/>
          <c:y val="0.66483618839694048"/>
          <c:w val="0.64833061652209345"/>
          <c:h val="0.324286291198073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stock.xlsm]traitement!Tableau croisé dynamique9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981802266086377"/>
          <c:y val="0.13774354518801957"/>
          <c:w val="0.62474390823416581"/>
          <c:h val="0.62748119572487082"/>
        </c:manualLayout>
      </c:layout>
      <c:pieChart>
        <c:varyColors val="1"/>
        <c:ser>
          <c:idx val="0"/>
          <c:order val="0"/>
          <c:tx>
            <c:strRef>
              <c:f>traitement!$B$25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89-43EB-A014-C7C27DC6F3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89-43EB-A014-C7C27DC6F32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89-43EB-A014-C7C27DC6F32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89-43EB-A014-C7C27DC6F32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traitement!$A$26:$A$30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traitement!$B$26:$B$30</c:f>
              <c:numCache>
                <c:formatCode>General</c:formatCode>
                <c:ptCount val="4"/>
                <c:pt idx="0">
                  <c:v>562</c:v>
                </c:pt>
                <c:pt idx="1">
                  <c:v>90</c:v>
                </c:pt>
                <c:pt idx="2">
                  <c:v>189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89-43EB-A014-C7C27DC6F32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848628741217727"/>
          <c:y val="0.74616945470327056"/>
          <c:w val="0.80539591343571182"/>
          <c:h val="0.232342352593324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stock.xlsm]traitement!Tableau croisé dynamique10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3795687591823128"/>
          <c:y val="5.4456056550607847E-2"/>
          <c:w val="0.64989820042821722"/>
          <c:h val="0.68719909896493003"/>
        </c:manualLayout>
      </c:layout>
      <c:pieChart>
        <c:varyColors val="1"/>
        <c:ser>
          <c:idx val="0"/>
          <c:order val="0"/>
          <c:tx>
            <c:strRef>
              <c:f>traitement!$B$32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6F-4659-BA9D-FB777442C35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D6F-4659-BA9D-FB777442C35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D6F-4659-BA9D-FB777442C35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D6F-4659-BA9D-FB777442C3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traitement!$A$33:$A$37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traitement!$B$33:$B$37</c:f>
              <c:numCache>
                <c:formatCode>_-* #\ ##0\ "€"_-;\-* #\ ##0\ "€"_-;_-* "-"??\ "€"_-;_-@_-</c:formatCode>
                <c:ptCount val="4"/>
                <c:pt idx="0">
                  <c:v>1593.9500000000003</c:v>
                </c:pt>
                <c:pt idx="1">
                  <c:v>53925</c:v>
                </c:pt>
                <c:pt idx="2">
                  <c:v>68550</c:v>
                </c:pt>
                <c:pt idx="3">
                  <c:v>167360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D6F-4659-BA9D-FB777442C35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90803023045076"/>
          <c:y val="0.75331544727152699"/>
          <c:w val="0.80279028856141232"/>
          <c:h val="0.22438550315961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stock.xlsm]traitement!Tableau croisé dynamique11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3997247246337103"/>
          <c:y val="3.5460788384933641E-2"/>
          <c:w val="0.59190426947567154"/>
          <c:h val="0.70399325581753025"/>
        </c:manualLayout>
      </c:layout>
      <c:pieChart>
        <c:varyColors val="1"/>
        <c:ser>
          <c:idx val="0"/>
          <c:order val="0"/>
          <c:tx>
            <c:strRef>
              <c:f>traitement!$B$39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80-4B14-AF65-FB4C185800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80-4B14-AF65-FB4C185800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80-4B14-AF65-FB4C185800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80-4B14-AF65-FB4C185800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traitement!$A$40:$A$44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traitement!$B$40:$B$44</c:f>
              <c:numCache>
                <c:formatCode>General</c:formatCode>
                <c:ptCount val="4"/>
                <c:pt idx="0">
                  <c:v>338</c:v>
                </c:pt>
                <c:pt idx="1">
                  <c:v>84</c:v>
                </c:pt>
                <c:pt idx="2">
                  <c:v>133</c:v>
                </c:pt>
                <c:pt idx="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80-4B14-AF65-FB4C18580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141436256904E-2"/>
          <c:y val="0.75660287762038791"/>
          <c:w val="0.86407490787448382"/>
          <c:h val="0.20677321244559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stock.xlsm]traitement!Tableau croisé dynamique12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0802678887369377"/>
          <c:y val="2.3136171856213247E-2"/>
          <c:w val="0.61266133034674275"/>
          <c:h val="0.74044038883342689"/>
        </c:manualLayout>
      </c:layout>
      <c:pieChart>
        <c:varyColors val="1"/>
        <c:ser>
          <c:idx val="0"/>
          <c:order val="0"/>
          <c:tx>
            <c:strRef>
              <c:f>traitement!$B$46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E1-4BFC-B426-07B9324C18B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E1-4BFC-B426-07B9324C18B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5E1-4BFC-B426-07B9324C18B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5E1-4BFC-B426-07B9324C18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traitement!$A$47:$A$51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traitement!$B$47:$B$51</c:f>
              <c:numCache>
                <c:formatCode>_-* #\ ##0\ "€"_-;\-* #\ ##0\ "€"_-;_-* "-"??\ "€"_-;_-@_-</c:formatCode>
                <c:ptCount val="4"/>
                <c:pt idx="0">
                  <c:v>1141</c:v>
                </c:pt>
                <c:pt idx="1">
                  <c:v>57320</c:v>
                </c:pt>
                <c:pt idx="2">
                  <c:v>67960</c:v>
                </c:pt>
                <c:pt idx="3">
                  <c:v>171510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5E1-4BFC-B426-07B9324C1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505365109639804"/>
          <c:y val="0.69584214724139126"/>
          <c:w val="0.77078127830625609"/>
          <c:h val="0.275028170120752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335147431943727E-2"/>
          <c:y val="0.11022009748781403"/>
          <c:w val="0.83268098571329252"/>
          <c:h val="0.61498432487605714"/>
        </c:manualLayout>
      </c:layout>
      <c:barChart>
        <c:barDir val="col"/>
        <c:grouping val="clustered"/>
        <c:varyColors val="0"/>
        <c:ser>
          <c:idx val="0"/>
          <c:order val="0"/>
          <c:tx>
            <c:v>Série1</c:v>
          </c:tx>
          <c:spPr>
            <a:solidFill>
              <a:srgbClr val="F2E9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137</c:v>
              </c:pt>
              <c:pt idx="1">
                <c:v>184</c:v>
              </c:pt>
              <c:pt idx="2">
                <c:v>142</c:v>
              </c:pt>
              <c:pt idx="3">
                <c:v>106</c:v>
              </c:pt>
              <c:pt idx="4">
                <c:v>423</c:v>
              </c:pt>
            </c:numLit>
          </c:val>
          <c:extLst>
            <c:ext xmlns:c16="http://schemas.microsoft.com/office/drawing/2014/chart" uri="{C3380CC4-5D6E-409C-BE32-E72D297353CC}">
              <c16:uniqueId val="{00000000-EB25-45F9-89A6-26229FEB2656}"/>
            </c:ext>
          </c:extLst>
        </c:ser>
        <c:ser>
          <c:idx val="1"/>
          <c:order val="1"/>
          <c:tx>
            <c:v>Série2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423</c:v>
              </c:pt>
            </c:numLit>
          </c:val>
          <c:extLst>
            <c:ext xmlns:c16="http://schemas.microsoft.com/office/drawing/2014/chart" uri="{C3380CC4-5D6E-409C-BE32-E72D297353CC}">
              <c16:uniqueId val="{00000001-EB25-45F9-89A6-26229FEB26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6"/>
        <c:overlap val="100"/>
        <c:axId val="2142175247"/>
        <c:axId val="936255951"/>
      </c:barChart>
      <c:catAx>
        <c:axId val="214217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6255951"/>
        <c:crosses val="autoZero"/>
        <c:auto val="1"/>
        <c:lblAlgn val="ctr"/>
        <c:lblOffset val="100"/>
        <c:noMultiLvlLbl val="0"/>
      </c:catAx>
      <c:valAx>
        <c:axId val="93625595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42175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414337711299261E-2"/>
          <c:y val="1.3904750607700165E-2"/>
          <c:w val="0.9388888888888888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2E9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traitement!$E$65:$E$69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traitement!$F$65:$F$69</c:f>
              <c:numCache>
                <c:formatCode>General</c:formatCode>
                <c:ptCount val="5"/>
                <c:pt idx="0">
                  <c:v>71</c:v>
                </c:pt>
                <c:pt idx="1">
                  <c:v>100</c:v>
                </c:pt>
                <c:pt idx="2">
                  <c:v>187</c:v>
                </c:pt>
                <c:pt idx="3">
                  <c:v>253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5B-4E92-BE87-5A0F17D9FBF0}"/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traitement!$E$65:$E$69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traitement!$G$65:$G$69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5B-4E92-BE87-5A0F17D9FB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6"/>
        <c:overlap val="100"/>
        <c:axId val="851678671"/>
        <c:axId val="1315390671"/>
      </c:barChart>
      <c:catAx>
        <c:axId val="85167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15390671"/>
        <c:crosses val="autoZero"/>
        <c:auto val="1"/>
        <c:lblAlgn val="ctr"/>
        <c:lblOffset val="100"/>
        <c:noMultiLvlLbl val="0"/>
      </c:catAx>
      <c:valAx>
        <c:axId val="131539067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51678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stock.xlsm]traitement!valeur des entrees mois</c:name>
    <c:fmtId val="9"/>
  </c:pivotSource>
  <c:chart>
    <c:autoTitleDeleted val="0"/>
    <c:pivotFmts>
      <c:pivotFmt>
        <c:idx val="0"/>
        <c:spPr>
          <a:gradFill>
            <a:gsLst>
              <a:gs pos="88000">
                <a:schemeClr val="bg1"/>
              </a:gs>
              <a:gs pos="75000">
                <a:schemeClr val="accent1">
                  <a:alpha val="50000"/>
                  <a:lumMod val="26000"/>
                  <a:lumOff val="74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88000">
                <a:schemeClr val="bg1"/>
              </a:gs>
              <a:gs pos="75000">
                <a:schemeClr val="accent1">
                  <a:alpha val="50000"/>
                  <a:lumMod val="26000"/>
                  <a:lumOff val="74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88000">
                <a:schemeClr val="bg1"/>
              </a:gs>
              <a:gs pos="75000">
                <a:schemeClr val="accent1">
                  <a:alpha val="50000"/>
                  <a:lumMod val="26000"/>
                  <a:lumOff val="74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5057825605197E-2"/>
          <c:y val="7.6060166621813405E-2"/>
          <c:w val="0.88628024644884662"/>
          <c:h val="0.74100411892977047"/>
        </c:manualLayout>
      </c:layout>
      <c:areaChart>
        <c:grouping val="standard"/>
        <c:varyColors val="0"/>
        <c:ser>
          <c:idx val="0"/>
          <c:order val="0"/>
          <c:tx>
            <c:strRef>
              <c:f>traitement!$B$75</c:f>
              <c:strCache>
                <c:ptCount val="1"/>
                <c:pt idx="0">
                  <c:v>Somme de Total2</c:v>
                </c:pt>
              </c:strCache>
            </c:strRef>
          </c:tx>
          <c:spPr>
            <a:gradFill>
              <a:gsLst>
                <a:gs pos="88000">
                  <a:schemeClr val="bg1"/>
                </a:gs>
                <a:gs pos="75000">
                  <a:schemeClr val="accent1">
                    <a:alpha val="50000"/>
                    <a:lumMod val="26000"/>
                    <a:lumOff val="74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traitement!$A$76:$A$81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traitement!$B$76:$B$81</c:f>
              <c:numCache>
                <c:formatCode>_-* #\ ##0\ "€"_-;\-* #\ ##0\ "€"_-;_-* "-"??\ "€"_-;_-@_-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7C-48C5-B6AE-90EAA986D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423583"/>
        <c:axId val="1236843599"/>
      </c:areaChart>
      <c:lineChart>
        <c:grouping val="standard"/>
        <c:varyColors val="0"/>
        <c:ser>
          <c:idx val="1"/>
          <c:order val="1"/>
          <c:tx>
            <c:strRef>
              <c:f>traitement!$C$75</c:f>
              <c:strCache>
                <c:ptCount val="1"/>
                <c:pt idx="0">
                  <c:v>Somme de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traitement!$A$76:$A$81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traitement!$C$76:$C$81</c:f>
              <c:numCache>
                <c:formatCode>_-* #\ ##0\ "€"_-;\-* #\ ##0\ "€"_-;_-* "-"??\ "€"_-;_-@_-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C7C-48C5-B6AE-90EAA986D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423583"/>
        <c:axId val="1236843599"/>
      </c:lineChart>
      <c:catAx>
        <c:axId val="1328423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36843599"/>
        <c:crosses val="autoZero"/>
        <c:auto val="1"/>
        <c:lblAlgn val="ctr"/>
        <c:lblOffset val="100"/>
        <c:noMultiLvlLbl val="0"/>
      </c:catAx>
      <c:valAx>
        <c:axId val="1236843599"/>
        <c:scaling>
          <c:orientation val="minMax"/>
        </c:scaling>
        <c:delete val="1"/>
        <c:axPos val="l"/>
        <c:numFmt formatCode="_-* #\ ##0\ &quot;€&quot;_-;\-* #\ ##0\ &quot;€&quot;_-;_-* &quot;-&quot;??\ &quot;€&quot;_-;_-@_-" sourceLinked="1"/>
        <c:majorTickMark val="none"/>
        <c:minorTickMark val="none"/>
        <c:tickLblPos val="nextTo"/>
        <c:crossAx val="1328423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stock.xlsm]traitement!top 3 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93091749988405"/>
          <c:y val="0.23700597418014671"/>
          <c:w val="0.64357909104763422"/>
          <c:h val="0.7629940258198533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traitement!$B$94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traitement!$A$95:$A$98</c:f>
              <c:strCache>
                <c:ptCount val="3"/>
                <c:pt idx="0">
                  <c:v>Cuisinière CANDY</c:v>
                </c:pt>
                <c:pt idx="1">
                  <c:v>GOOGLE PIXEL 5</c:v>
                </c:pt>
                <c:pt idx="2">
                  <c:v>IPHONE 13 PRO</c:v>
                </c:pt>
              </c:strCache>
            </c:strRef>
          </c:cat>
          <c:val>
            <c:numRef>
              <c:f>traitement!$B$95:$B$98</c:f>
              <c:numCache>
                <c:formatCode>_-* #\ ##0\ [$€-40C]_-;\-* #\ ##0\ [$€-40C]_-;_-* "-"??\ [$€-40C]_-;_-@_-</c:formatCode>
                <c:ptCount val="3"/>
                <c:pt idx="0">
                  <c:v>35400</c:v>
                </c:pt>
                <c:pt idx="1">
                  <c:v>42010</c:v>
                </c:pt>
                <c:pt idx="2">
                  <c:v>129500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83-4A09-B226-D88DF22D705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73326639"/>
        <c:axId val="224253295"/>
      </c:barChart>
      <c:catAx>
        <c:axId val="37332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4253295"/>
        <c:crosses val="autoZero"/>
        <c:auto val="1"/>
        <c:lblAlgn val="ctr"/>
        <c:lblOffset val="100"/>
        <c:noMultiLvlLbl val="0"/>
      </c:catAx>
      <c:valAx>
        <c:axId val="224253295"/>
        <c:scaling>
          <c:orientation val="minMax"/>
        </c:scaling>
        <c:delete val="1"/>
        <c:axPos val="b"/>
        <c:numFmt formatCode="_-* #\ ##0\ [$€-40C]_-;\-* #\ ##0\ [$€-40C]_-;_-* &quot;-&quot;??\ [$€-40C]_-;_-@_-" sourceLinked="1"/>
        <c:majorTickMark val="none"/>
        <c:minorTickMark val="none"/>
        <c:tickLblPos val="nextTo"/>
        <c:crossAx val="373326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stock.xlsm]traitement!valeur sortie par mois</c:name>
    <c:fmtId val="16"/>
  </c:pivotSource>
  <c:chart>
    <c:autoTitleDeleted val="1"/>
    <c:pivotFmts>
      <c:pivotFmt>
        <c:idx val="0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95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95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95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555555555555552E-2"/>
          <c:y val="6.944453114108734E-2"/>
          <c:w val="0.93888888888888888"/>
          <c:h val="0.8416746864975212"/>
        </c:manualLayout>
      </c:layout>
      <c:areaChart>
        <c:grouping val="standard"/>
        <c:varyColors val="0"/>
        <c:ser>
          <c:idx val="0"/>
          <c:order val="0"/>
          <c:tx>
            <c:strRef>
              <c:f>traitement!$B$85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95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solidFill>
                <a:schemeClr val="accent1"/>
              </a:solidFill>
            </a:ln>
            <a:effectLst/>
          </c:spPr>
          <c:cat>
            <c:strRef>
              <c:f>traitement!$A$86:$A$91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traitement!$B$86:$B$91</c:f>
              <c:numCache>
                <c:formatCode>_-* #\ ##0\ [$€-40C]_-;\-* #\ ##0\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C-4743-9107-F8B798A36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127423"/>
        <c:axId val="937659151"/>
      </c:areaChart>
      <c:lineChart>
        <c:grouping val="standard"/>
        <c:varyColors val="0"/>
        <c:ser>
          <c:idx val="1"/>
          <c:order val="1"/>
          <c:tx>
            <c:strRef>
              <c:f>traitement!$C$85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traitement!$A$86:$A$91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traitement!$C$86:$C$91</c:f>
              <c:numCache>
                <c:formatCode>_-* #\ ##0\ [$€-40C]_-;\-* #\ ##0\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AC-4743-9107-F8B798A36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127423"/>
        <c:axId val="937659151"/>
      </c:lineChart>
      <c:catAx>
        <c:axId val="519127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7659151"/>
        <c:crosses val="autoZero"/>
        <c:auto val="1"/>
        <c:lblAlgn val="ctr"/>
        <c:lblOffset val="100"/>
        <c:noMultiLvlLbl val="0"/>
      </c:catAx>
      <c:valAx>
        <c:axId val="937659151"/>
        <c:scaling>
          <c:orientation val="minMax"/>
        </c:scaling>
        <c:delete val="1"/>
        <c:axPos val="l"/>
        <c:numFmt formatCode="_-* #\ ##0\ [$€-40C]_-;\-* #\ ##0\ [$€-40C]_-;_-* &quot;-&quot;??\ [$€-40C]_-;_-@_-" sourceLinked="1"/>
        <c:majorTickMark val="out"/>
        <c:minorTickMark val="none"/>
        <c:tickLblPos val="nextTo"/>
        <c:crossAx val="519127423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stock.xlsm]traitement!Tableau croisé dynamique7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071-4B2F-8796-709B5063A6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071-4B2F-8796-709B5063A6E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071-4B2F-8796-709B5063A6E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071-4B2F-8796-709B5063A6E0}"/>
              </c:ext>
            </c:extLst>
          </c:dPt>
          <c:cat>
            <c:strRef>
              <c:f>traitement!$A$12:$A$16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traitement!$B$12:$B$16</c:f>
              <c:numCache>
                <c:formatCode>General</c:formatCode>
                <c:ptCount val="4"/>
                <c:pt idx="0">
                  <c:v>254</c:v>
                </c:pt>
                <c:pt idx="1">
                  <c:v>15</c:v>
                </c:pt>
                <c:pt idx="2">
                  <c:v>70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A-4564-94A7-93A94F773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stock.xlsm]traitement!stock valeur categorie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4885386118960823"/>
          <c:y val="0.25769047905619247"/>
          <c:w val="0.64599151463279314"/>
          <c:h val="0.73718430264704571"/>
        </c:manualLayout>
      </c:layout>
      <c:pieChart>
        <c:varyColors val="1"/>
        <c:ser>
          <c:idx val="0"/>
          <c:order val="0"/>
          <c:tx>
            <c:strRef>
              <c:f>traitement!$B$18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72-49B1-B73C-365CCA0BAD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72-49B1-B73C-365CCA0BAD0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372-49B1-B73C-365CCA0BAD0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372-49B1-B73C-365CCA0BAD0E}"/>
              </c:ext>
            </c:extLst>
          </c:dPt>
          <c:cat>
            <c:strRef>
              <c:f>traitement!$A$19:$A$23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traitement!$B$19:$B$23</c:f>
              <c:numCache>
                <c:formatCode>_-* #\ ##0.00\ [$€-40C]_-;\-* #\ ##0.00\ [$€-40C]_-;_-* "-"??\ [$€-40C]_-;_-@_-</c:formatCode>
                <c:ptCount val="4"/>
                <c:pt idx="0">
                  <c:v>721.43523809523811</c:v>
                </c:pt>
                <c:pt idx="1">
                  <c:v>10588.6587366694</c:v>
                </c:pt>
                <c:pt idx="2">
                  <c:v>17750</c:v>
                </c:pt>
                <c:pt idx="3">
                  <c:v>25792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7-4842-BB91-32A3C4C22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stock.xlsm]traitement!Tableau croisé dynamique9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traitement!$B$25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D43-441E-AF80-CB4707E5B95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D43-441E-AF80-CB4707E5B95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D43-441E-AF80-CB4707E5B95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D43-441E-AF80-CB4707E5B953}"/>
              </c:ext>
            </c:extLst>
          </c:dPt>
          <c:cat>
            <c:strRef>
              <c:f>traitement!$A$26:$A$30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traitement!$B$26:$B$30</c:f>
              <c:numCache>
                <c:formatCode>General</c:formatCode>
                <c:ptCount val="4"/>
                <c:pt idx="0">
                  <c:v>562</c:v>
                </c:pt>
                <c:pt idx="1">
                  <c:v>90</c:v>
                </c:pt>
                <c:pt idx="2">
                  <c:v>189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CD-488C-B46B-AC69768FD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stock.xlsm]traitement!Tableau croisé dynamique10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47-4AA7-AC1B-A98E211377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47-4AA7-AC1B-A98E211377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47-4AA7-AC1B-A98E211377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47-4AA7-AC1B-A98E21137778}"/>
              </c:ext>
            </c:extLst>
          </c:dPt>
          <c:cat>
            <c:strRef>
              <c:f>traitement!$A$33:$A$37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traitement!$B$33:$B$37</c:f>
              <c:numCache>
                <c:formatCode>_-* #\ ##0\ "€"_-;\-* #\ ##0\ "€"_-;_-* "-"??\ "€"_-;_-@_-</c:formatCode>
                <c:ptCount val="4"/>
                <c:pt idx="0">
                  <c:v>1593.9500000000003</c:v>
                </c:pt>
                <c:pt idx="1">
                  <c:v>53925</c:v>
                </c:pt>
                <c:pt idx="2">
                  <c:v>68550</c:v>
                </c:pt>
                <c:pt idx="3">
                  <c:v>167360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49-4C34-B9E1-FA61EAA3E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12568987342374"/>
          <c:y val="0.77438047229461715"/>
          <c:w val="0.66445450663410244"/>
          <c:h val="0.200723742052216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stock.xlsm]traitement!Tableau croisé dynamique11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traitement!$B$39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F6-426F-9126-8552A8C2C2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F6-426F-9126-8552A8C2C2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F6-426F-9126-8552A8C2C2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F6-426F-9126-8552A8C2C266}"/>
              </c:ext>
            </c:extLst>
          </c:dPt>
          <c:cat>
            <c:strRef>
              <c:f>traitement!$A$40:$A$44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traitement!$B$40:$B$44</c:f>
              <c:numCache>
                <c:formatCode>General</c:formatCode>
                <c:ptCount val="4"/>
                <c:pt idx="0">
                  <c:v>338</c:v>
                </c:pt>
                <c:pt idx="1">
                  <c:v>84</c:v>
                </c:pt>
                <c:pt idx="2">
                  <c:v>133</c:v>
                </c:pt>
                <c:pt idx="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FA-4D6C-B640-4376BED47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stock.xlsm]traitement!Tableau croisé dynamique12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traitement!$B$46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0C-4571-B883-B65CF579A6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0C-4571-B883-B65CF579A6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0C-4571-B883-B65CF579A66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0C-4571-B883-B65CF579A66B}"/>
              </c:ext>
            </c:extLst>
          </c:dPt>
          <c:cat>
            <c:strRef>
              <c:f>traitement!$A$47:$A$51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traitement!$B$47:$B$51</c:f>
              <c:numCache>
                <c:formatCode>_-* #\ ##0\ "€"_-;\-* #\ ##0\ "€"_-;_-* "-"??\ "€"_-;_-@_-</c:formatCode>
                <c:ptCount val="4"/>
                <c:pt idx="0">
                  <c:v>1141</c:v>
                </c:pt>
                <c:pt idx="1">
                  <c:v>57320</c:v>
                </c:pt>
                <c:pt idx="2">
                  <c:v>67960</c:v>
                </c:pt>
                <c:pt idx="3">
                  <c:v>171510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40-438D-9132-13FD77C0B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6561018857013"/>
          <c:y val="0.27212475174823747"/>
          <c:w val="0.89019685039370078"/>
          <c:h val="0.6149843248760571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traitement!$E$55:$E$59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traitement!$F$55:$F$59</c:f>
              <c:numCache>
                <c:formatCode>General</c:formatCode>
                <c:ptCount val="5"/>
                <c:pt idx="0">
                  <c:v>137</c:v>
                </c:pt>
                <c:pt idx="1">
                  <c:v>184</c:v>
                </c:pt>
                <c:pt idx="2">
                  <c:v>142</c:v>
                </c:pt>
                <c:pt idx="3">
                  <c:v>106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BF-4E26-8321-F7B1815E70F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traitement!$E$55:$E$59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traitement!$G$55:$G$59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BF-4E26-8321-F7B1815E7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6"/>
        <c:overlap val="100"/>
        <c:axId val="2142175247"/>
        <c:axId val="936255951"/>
      </c:barChart>
      <c:catAx>
        <c:axId val="214217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6255951"/>
        <c:crosses val="autoZero"/>
        <c:auto val="1"/>
        <c:lblAlgn val="ctr"/>
        <c:lblOffset val="100"/>
        <c:noMultiLvlLbl val="0"/>
      </c:catAx>
      <c:valAx>
        <c:axId val="93625595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42175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111111111111109E-2"/>
          <c:y val="6.0185185185185182E-2"/>
          <c:w val="0.9388888888888888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traitement!$E$65:$E$69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traitement!$F$65:$F$69</c:f>
              <c:numCache>
                <c:formatCode>General</c:formatCode>
                <c:ptCount val="5"/>
                <c:pt idx="0">
                  <c:v>71</c:v>
                </c:pt>
                <c:pt idx="1">
                  <c:v>100</c:v>
                </c:pt>
                <c:pt idx="2">
                  <c:v>187</c:v>
                </c:pt>
                <c:pt idx="3">
                  <c:v>253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C2-4895-A02D-D68CC28935F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traitement!$E$65:$E$69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traitement!$G$65:$G$69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C2-4895-A02D-D68CC2893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6"/>
        <c:overlap val="100"/>
        <c:axId val="851678671"/>
        <c:axId val="1315390671"/>
      </c:barChart>
      <c:catAx>
        <c:axId val="85167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15390671"/>
        <c:crosses val="autoZero"/>
        <c:auto val="1"/>
        <c:lblAlgn val="ctr"/>
        <c:lblOffset val="100"/>
        <c:noMultiLvlLbl val="0"/>
      </c:catAx>
      <c:valAx>
        <c:axId val="13153906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51678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stock.xlsm]traitement!valeur des entrees mois</c:name>
    <c:fmtId val="0"/>
  </c:pivotSource>
  <c:chart>
    <c:autoTitleDeleted val="0"/>
    <c:pivotFmts>
      <c:pivotFmt>
        <c:idx val="0"/>
        <c:spPr>
          <a:gradFill>
            <a:gsLst>
              <a:gs pos="88000">
                <a:schemeClr val="bg1"/>
              </a:gs>
              <a:gs pos="75000">
                <a:schemeClr val="accent1">
                  <a:alpha val="50000"/>
                  <a:lumMod val="26000"/>
                  <a:lumOff val="74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211640211640212E-2"/>
          <c:y val="4.8462261285998891E-2"/>
          <c:w val="0.95343915343915342"/>
          <c:h val="0.86188955119939326"/>
        </c:manualLayout>
      </c:layout>
      <c:areaChart>
        <c:grouping val="standard"/>
        <c:varyColors val="0"/>
        <c:ser>
          <c:idx val="0"/>
          <c:order val="0"/>
          <c:tx>
            <c:strRef>
              <c:f>traitement!$B$75</c:f>
              <c:strCache>
                <c:ptCount val="1"/>
                <c:pt idx="0">
                  <c:v>Somme de Total2</c:v>
                </c:pt>
              </c:strCache>
            </c:strRef>
          </c:tx>
          <c:spPr>
            <a:gradFill>
              <a:gsLst>
                <a:gs pos="88000">
                  <a:schemeClr val="bg1"/>
                </a:gs>
                <a:gs pos="75000">
                  <a:schemeClr val="accent1">
                    <a:alpha val="50000"/>
                    <a:lumMod val="26000"/>
                    <a:lumOff val="74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traitement!$A$76:$A$81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traitement!$B$76:$B$81</c:f>
              <c:numCache>
                <c:formatCode>_-* #\ ##0\ "€"_-;\-* #\ ##0\ "€"_-;_-* "-"??\ "€"_-;_-@_-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6-497B-91A3-4B3ADC9FD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423583"/>
        <c:axId val="1236843599"/>
      </c:areaChart>
      <c:lineChart>
        <c:grouping val="standard"/>
        <c:varyColors val="0"/>
        <c:ser>
          <c:idx val="1"/>
          <c:order val="1"/>
          <c:tx>
            <c:strRef>
              <c:f>traitement!$C$75</c:f>
              <c:strCache>
                <c:ptCount val="1"/>
                <c:pt idx="0">
                  <c:v>Somme de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traitement!$A$76:$A$81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traitement!$C$76:$C$81</c:f>
              <c:numCache>
                <c:formatCode>_-* #\ ##0\ "€"_-;\-* #\ ##0\ "€"_-;_-* "-"??\ "€"_-;_-@_-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CD6-497B-91A3-4B3ADC9FD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423583"/>
        <c:axId val="1236843599"/>
      </c:lineChart>
      <c:catAx>
        <c:axId val="1328423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36843599"/>
        <c:crosses val="autoZero"/>
        <c:auto val="1"/>
        <c:lblAlgn val="ctr"/>
        <c:lblOffset val="100"/>
        <c:noMultiLvlLbl val="0"/>
      </c:catAx>
      <c:valAx>
        <c:axId val="123684359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-* #\ ##0\ &quot;€&quot;_-;\-* #\ ##0\ &quot;€&quot;_-;_-* &quot;-&quot;??\ &quot;€&quot;_-;_-@_-" sourceLinked="1"/>
        <c:majorTickMark val="none"/>
        <c:minorTickMark val="none"/>
        <c:tickLblPos val="nextTo"/>
        <c:crossAx val="1328423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stock.xlsm]traitement!valeur sortie par mois</c:name>
    <c:fmtId val="0"/>
  </c:pivotSource>
  <c:chart>
    <c:autoTitleDeleted val="0"/>
    <c:pivotFmts>
      <c:pivotFmt>
        <c:idx val="0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95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6.944453114108734E-2"/>
          <c:w val="0.93888888888888888"/>
          <c:h val="0.8416746864975212"/>
        </c:manualLayout>
      </c:layout>
      <c:areaChart>
        <c:grouping val="standard"/>
        <c:varyColors val="0"/>
        <c:ser>
          <c:idx val="0"/>
          <c:order val="0"/>
          <c:tx>
            <c:strRef>
              <c:f>traitement!$B$85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95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traitement!$A$86:$A$91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traitement!$B$86:$B$91</c:f>
              <c:numCache>
                <c:formatCode>_-* #\ ##0\ [$€-40C]_-;\-* #\ ##0\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34-483B-9386-972F93C0E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127423"/>
        <c:axId val="937659151"/>
      </c:areaChart>
      <c:lineChart>
        <c:grouping val="standard"/>
        <c:varyColors val="0"/>
        <c:ser>
          <c:idx val="1"/>
          <c:order val="1"/>
          <c:tx>
            <c:strRef>
              <c:f>traitement!$C$85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traitement!$A$86:$A$91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traitement!$C$86:$C$91</c:f>
              <c:numCache>
                <c:formatCode>_-* #\ ##0\ [$€-40C]_-;\-* #\ ##0\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34-483B-9386-972F93C0E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127423"/>
        <c:axId val="937659151"/>
      </c:lineChart>
      <c:catAx>
        <c:axId val="519127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7659151"/>
        <c:crosses val="autoZero"/>
        <c:auto val="1"/>
        <c:lblAlgn val="ctr"/>
        <c:lblOffset val="100"/>
        <c:noMultiLvlLbl val="0"/>
      </c:catAx>
      <c:valAx>
        <c:axId val="937659151"/>
        <c:scaling>
          <c:orientation val="minMax"/>
        </c:scaling>
        <c:delete val="1"/>
        <c:axPos val="l"/>
        <c:numFmt formatCode="_-* #\ ##0\ [$€-40C]_-;\-* #\ ##0\ [$€-40C]_-;_-* &quot;-&quot;??\ [$€-40C]_-;_-@_-" sourceLinked="1"/>
        <c:majorTickMark val="out"/>
        <c:minorTickMark val="none"/>
        <c:tickLblPos val="nextTo"/>
        <c:crossAx val="519127423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[EXERCICE DASHBOARD Gestion de stock.xlsm]traitement!top 3 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traitement!$B$94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traitement!$A$95:$A$98</c:f>
              <c:strCache>
                <c:ptCount val="3"/>
                <c:pt idx="0">
                  <c:v>Cuisinière CANDY</c:v>
                </c:pt>
                <c:pt idx="1">
                  <c:v>GOOGLE PIXEL 5</c:v>
                </c:pt>
                <c:pt idx="2">
                  <c:v>IPHONE 13 PRO</c:v>
                </c:pt>
              </c:strCache>
            </c:strRef>
          </c:cat>
          <c:val>
            <c:numRef>
              <c:f>traitement!$B$95:$B$98</c:f>
              <c:numCache>
                <c:formatCode>_-* #\ ##0\ [$€-40C]_-;\-* #\ ##0\ [$€-40C]_-;_-* "-"??\ [$€-40C]_-;_-@_-</c:formatCode>
                <c:ptCount val="3"/>
                <c:pt idx="0">
                  <c:v>35400</c:v>
                </c:pt>
                <c:pt idx="1">
                  <c:v>42010</c:v>
                </c:pt>
                <c:pt idx="2">
                  <c:v>129500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EC-47C2-9AAE-C6F5A30544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73326639"/>
        <c:axId val="224253295"/>
      </c:barChart>
      <c:catAx>
        <c:axId val="37332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4253295"/>
        <c:crosses val="autoZero"/>
        <c:auto val="1"/>
        <c:lblAlgn val="ctr"/>
        <c:lblOffset val="100"/>
        <c:noMultiLvlLbl val="0"/>
      </c:catAx>
      <c:valAx>
        <c:axId val="22425329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[$€-40C]_-;\-* #\ ##0\ [$€-40C]_-;_-* &quot;-&quot;??\ [$€-40C]_-;_-@_-" sourceLinked="1"/>
        <c:majorTickMark val="none"/>
        <c:minorTickMark val="none"/>
        <c:tickLblPos val="nextTo"/>
        <c:crossAx val="373326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7.xml"/><Relationship Id="rId3" Type="http://schemas.openxmlformats.org/officeDocument/2006/relationships/image" Target="../media/image5.png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17" Type="http://schemas.openxmlformats.org/officeDocument/2006/relationships/chart" Target="../charts/chart11.xml"/><Relationship Id="rId2" Type="http://schemas.openxmlformats.org/officeDocument/2006/relationships/image" Target="../media/image4.png"/><Relationship Id="rId16" Type="http://schemas.openxmlformats.org/officeDocument/2006/relationships/chart" Target="../charts/chart10.xml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chart" Target="../charts/chart5.xml"/><Relationship Id="rId5" Type="http://schemas.openxmlformats.org/officeDocument/2006/relationships/image" Target="../media/image7.png"/><Relationship Id="rId15" Type="http://schemas.openxmlformats.org/officeDocument/2006/relationships/chart" Target="../charts/chart9.xml"/><Relationship Id="rId10" Type="http://schemas.openxmlformats.org/officeDocument/2006/relationships/chart" Target="../charts/chart4.xml"/><Relationship Id="rId4" Type="http://schemas.openxmlformats.org/officeDocument/2006/relationships/image" Target="../media/image6.png"/><Relationship Id="rId9" Type="http://schemas.openxmlformats.org/officeDocument/2006/relationships/chart" Target="../charts/chart3.xml"/><Relationship Id="rId1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996460</xdr:colOff>
      <xdr:row>17</xdr:row>
      <xdr:rowOff>49703</xdr:rowOff>
    </xdr:from>
    <xdr:to>
      <xdr:col>9</xdr:col>
      <xdr:colOff>35029</xdr:colOff>
      <xdr:row>18</xdr:row>
      <xdr:rowOff>21287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46787035-7718-4DC3-92D6-B888E8F5C905}"/>
            </a:ext>
          </a:extLst>
        </xdr:cNvPr>
        <xdr:cNvSpPr/>
      </xdr:nvSpPr>
      <xdr:spPr>
        <a:xfrm>
          <a:off x="7221414" y="3859703"/>
          <a:ext cx="756000" cy="252938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Sortie</a:t>
          </a:r>
        </a:p>
      </xdr:txBody>
    </xdr:sp>
    <xdr:clientData/>
  </xdr:twoCellAnchor>
  <xdr:twoCellAnchor>
    <xdr:from>
      <xdr:col>6</xdr:col>
      <xdr:colOff>18288</xdr:colOff>
      <xdr:row>17</xdr:row>
      <xdr:rowOff>49703</xdr:rowOff>
    </xdr:from>
    <xdr:to>
      <xdr:col>6</xdr:col>
      <xdr:colOff>774288</xdr:colOff>
      <xdr:row>18</xdr:row>
      <xdr:rowOff>21287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559911A0-15C1-4265-B15E-19BED6FCECE2}"/>
            </a:ext>
          </a:extLst>
        </xdr:cNvPr>
        <xdr:cNvSpPr/>
      </xdr:nvSpPr>
      <xdr:spPr>
        <a:xfrm>
          <a:off x="3599688" y="3859703"/>
          <a:ext cx="756000" cy="252938"/>
        </a:xfrm>
        <a:prstGeom prst="roundRect">
          <a:avLst/>
        </a:prstGeom>
        <a:solidFill>
          <a:srgbClr val="FAFAFA"/>
        </a:solidFill>
        <a:ln>
          <a:noFill/>
        </a:ln>
        <a:effectLst>
          <a:glow rad="38100">
            <a:schemeClr val="bg1">
              <a:lumMod val="50000"/>
              <a:alpha val="3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900" b="1" i="0" u="none" strike="noStrike" kern="0" cap="none" spc="11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Annuler</a:t>
          </a:r>
          <a:endParaRPr lang="fr-FR" sz="900" b="1">
            <a:solidFill>
              <a:schemeClr val="tx1"/>
            </a:solidFill>
            <a:latin typeface="Gilroy-Bold" panose="00000800000000000000" pitchFamily="2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8</xdr:col>
      <xdr:colOff>12422</xdr:colOff>
      <xdr:row>17</xdr:row>
      <xdr:rowOff>49703</xdr:rowOff>
    </xdr:from>
    <xdr:to>
      <xdr:col>8</xdr:col>
      <xdr:colOff>768422</xdr:colOff>
      <xdr:row>18</xdr:row>
      <xdr:rowOff>21287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59CF9C97-38A7-4FCD-8781-C57AB63A9E48}"/>
            </a:ext>
          </a:extLst>
        </xdr:cNvPr>
        <xdr:cNvSpPr/>
      </xdr:nvSpPr>
      <xdr:spPr>
        <a:xfrm>
          <a:off x="6237376" y="3859703"/>
          <a:ext cx="756000" cy="252938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Entrée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690988</xdr:colOff>
      <xdr:row>9</xdr:row>
      <xdr:rowOff>145773</xdr:rowOff>
    </xdr:from>
    <xdr:to>
      <xdr:col>5</xdr:col>
      <xdr:colOff>1410988</xdr:colOff>
      <xdr:row>11</xdr:row>
      <xdr:rowOff>26712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84905012-F30E-45E8-B91E-98B0FB63AAFA}"/>
            </a:ext>
          </a:extLst>
        </xdr:cNvPr>
        <xdr:cNvSpPr/>
      </xdr:nvSpPr>
      <xdr:spPr>
        <a:xfrm>
          <a:off x="6581579" y="2252869"/>
          <a:ext cx="720000" cy="252000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Ajouter</a:t>
          </a:r>
        </a:p>
      </xdr:txBody>
    </xdr:sp>
    <xdr:clientData/>
  </xdr:twoCellAnchor>
  <xdr:twoCellAnchor>
    <xdr:from>
      <xdr:col>4</xdr:col>
      <xdr:colOff>1179444</xdr:colOff>
      <xdr:row>9</xdr:row>
      <xdr:rowOff>145773</xdr:rowOff>
    </xdr:from>
    <xdr:to>
      <xdr:col>5</xdr:col>
      <xdr:colOff>527844</xdr:colOff>
      <xdr:row>11</xdr:row>
      <xdr:rowOff>26712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2901793D-7FE0-4780-89AE-DB69CF8F3EAF}"/>
            </a:ext>
          </a:extLst>
        </xdr:cNvPr>
        <xdr:cNvSpPr/>
      </xdr:nvSpPr>
      <xdr:spPr>
        <a:xfrm>
          <a:off x="5698435" y="2252869"/>
          <a:ext cx="720000" cy="252000"/>
        </a:xfrm>
        <a:prstGeom prst="roundRect">
          <a:avLst/>
        </a:prstGeom>
        <a:solidFill>
          <a:srgbClr val="FAFAFA"/>
        </a:solidFill>
        <a:ln>
          <a:noFill/>
        </a:ln>
        <a:effectLst>
          <a:glow rad="38100">
            <a:schemeClr val="bg1">
              <a:lumMod val="50000"/>
              <a:alpha val="3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900" b="1" i="0" u="none" strike="noStrike" kern="0" cap="none" spc="11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Annuler</a:t>
          </a:r>
          <a:endParaRPr lang="fr-FR" sz="900" b="1">
            <a:solidFill>
              <a:schemeClr val="tx1"/>
            </a:solidFill>
            <a:latin typeface="Gilroy-Bold" panose="00000800000000000000" pitchFamily="2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272325</xdr:colOff>
      <xdr:row>7</xdr:row>
      <xdr:rowOff>158750</xdr:rowOff>
    </xdr:from>
    <xdr:to>
      <xdr:col>10</xdr:col>
      <xdr:colOff>0</xdr:colOff>
      <xdr:row>11</xdr:row>
      <xdr:rowOff>0</xdr:rowOff>
    </xdr:to>
    <xdr:sp macro="" textlink="">
      <xdr:nvSpPr>
        <xdr:cNvPr id="57" name="ZoneTexte 56">
          <a:extLst>
            <a:ext uri="{FF2B5EF4-FFF2-40B4-BE49-F238E27FC236}">
              <a16:creationId xmlns:a16="http://schemas.microsoft.com/office/drawing/2014/main" id="{71C8ED4D-621A-03C4-20E0-BAC67DD20B48}"/>
            </a:ext>
          </a:extLst>
        </xdr:cNvPr>
        <xdr:cNvSpPr txBox="1"/>
      </xdr:nvSpPr>
      <xdr:spPr>
        <a:xfrm>
          <a:off x="6384200" y="1478359"/>
          <a:ext cx="1255644" cy="5953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/>
            <a:t>stock par categori</a:t>
          </a:r>
        </a:p>
      </xdr:txBody>
    </xdr:sp>
    <xdr:clientData/>
  </xdr:twoCellAnchor>
  <xdr:twoCellAnchor>
    <xdr:from>
      <xdr:col>3</xdr:col>
      <xdr:colOff>83475</xdr:colOff>
      <xdr:row>1</xdr:row>
      <xdr:rowOff>13805</xdr:rowOff>
    </xdr:from>
    <xdr:to>
      <xdr:col>5</xdr:col>
      <xdr:colOff>395475</xdr:colOff>
      <xdr:row>5</xdr:row>
      <xdr:rowOff>0</xdr:rowOff>
    </xdr:to>
    <xdr:sp macro="" textlink="traitement!A2">
      <xdr:nvSpPr>
        <xdr:cNvPr id="2" name="Rectangle : coins arrondis 1">
          <a:extLst>
            <a:ext uri="{FF2B5EF4-FFF2-40B4-BE49-F238E27FC236}">
              <a16:creationId xmlns:a16="http://schemas.microsoft.com/office/drawing/2014/main" id="{E66821FB-ECA1-3077-1E66-023C368D6015}"/>
            </a:ext>
          </a:extLst>
        </xdr:cNvPr>
        <xdr:cNvSpPr/>
      </xdr:nvSpPr>
      <xdr:spPr>
        <a:xfrm>
          <a:off x="2361192" y="427935"/>
          <a:ext cx="1830479" cy="75923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endParaRPr lang="en-US" sz="16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  <a:p>
          <a:pPr algn="ctr"/>
          <a:fld id="{7BBB1A2A-B022-4422-9136-BA121DE94FA4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366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489675</xdr:colOff>
      <xdr:row>1</xdr:row>
      <xdr:rowOff>14024</xdr:rowOff>
    </xdr:from>
    <xdr:to>
      <xdr:col>8</xdr:col>
      <xdr:colOff>108675</xdr:colOff>
      <xdr:row>5</xdr:row>
      <xdr:rowOff>0</xdr:rowOff>
    </xdr:to>
    <xdr:sp macro="" textlink="traitement!B2">
      <xdr:nvSpPr>
        <xdr:cNvPr id="3" name="Rectangle : coins arrondis 2">
          <a:extLst>
            <a:ext uri="{FF2B5EF4-FFF2-40B4-BE49-F238E27FC236}">
              <a16:creationId xmlns:a16="http://schemas.microsoft.com/office/drawing/2014/main" id="{331CEBBB-719A-4C76-8096-230569D747B4}"/>
            </a:ext>
          </a:extLst>
        </xdr:cNvPr>
        <xdr:cNvSpPr/>
      </xdr:nvSpPr>
      <xdr:spPr>
        <a:xfrm>
          <a:off x="4275252" y="209409"/>
          <a:ext cx="1890346" cy="76751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A875D2EA-3D16-4A27-AA6D-1D86E514391A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54 852,09 €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165825</xdr:colOff>
      <xdr:row>1</xdr:row>
      <xdr:rowOff>4500</xdr:rowOff>
    </xdr:from>
    <xdr:to>
      <xdr:col>10</xdr:col>
      <xdr:colOff>546825</xdr:colOff>
      <xdr:row>5</xdr:row>
      <xdr:rowOff>0</xdr:rowOff>
    </xdr:to>
    <xdr:sp macro="" textlink="traitement!A5">
      <xdr:nvSpPr>
        <xdr:cNvPr id="4" name="Rectangle : coins arrondis 3">
          <a:extLst>
            <a:ext uri="{FF2B5EF4-FFF2-40B4-BE49-F238E27FC236}">
              <a16:creationId xmlns:a16="http://schemas.microsoft.com/office/drawing/2014/main" id="{90AB1B9B-E29E-438C-B2B5-8527B26891CB}"/>
            </a:ext>
          </a:extLst>
        </xdr:cNvPr>
        <xdr:cNvSpPr/>
      </xdr:nvSpPr>
      <xdr:spPr>
        <a:xfrm>
          <a:off x="6222748" y="199885"/>
          <a:ext cx="1895231" cy="77703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CE8E739E-7417-4B56-85CA-FB4C065DCAD6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992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583275</xdr:colOff>
      <xdr:row>1</xdr:row>
      <xdr:rowOff>20775</xdr:rowOff>
    </xdr:from>
    <xdr:to>
      <xdr:col>14</xdr:col>
      <xdr:colOff>0</xdr:colOff>
      <xdr:row>5</xdr:row>
      <xdr:rowOff>16275</xdr:rowOff>
    </xdr:to>
    <xdr:sp macro="" textlink="traitement!B5">
      <xdr:nvSpPr>
        <xdr:cNvPr id="5" name="Rectangle : coins arrondis 4">
          <a:extLst>
            <a:ext uri="{FF2B5EF4-FFF2-40B4-BE49-F238E27FC236}">
              <a16:creationId xmlns:a16="http://schemas.microsoft.com/office/drawing/2014/main" id="{60D28578-EA6A-4228-BE7A-065490C26AAB}"/>
            </a:ext>
          </a:extLst>
        </xdr:cNvPr>
        <xdr:cNvSpPr/>
      </xdr:nvSpPr>
      <xdr:spPr>
        <a:xfrm>
          <a:off x="8154429" y="216160"/>
          <a:ext cx="2445186" cy="77703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3A6D81C4-88EB-4135-98B8-44D7F278655E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291 428,95 €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46565</xdr:colOff>
      <xdr:row>1</xdr:row>
      <xdr:rowOff>20775</xdr:rowOff>
    </xdr:from>
    <xdr:to>
      <xdr:col>17</xdr:col>
      <xdr:colOff>103284</xdr:colOff>
      <xdr:row>5</xdr:row>
      <xdr:rowOff>20775</xdr:rowOff>
    </xdr:to>
    <xdr:sp macro="" textlink="traitement!A8">
      <xdr:nvSpPr>
        <xdr:cNvPr id="6" name="Rectangle : coins arrondis 5">
          <a:extLst>
            <a:ext uri="{FF2B5EF4-FFF2-40B4-BE49-F238E27FC236}">
              <a16:creationId xmlns:a16="http://schemas.microsoft.com/office/drawing/2014/main" id="{87E3507D-F4AF-447F-888F-DC08775CA20A}"/>
            </a:ext>
          </a:extLst>
        </xdr:cNvPr>
        <xdr:cNvSpPr/>
      </xdr:nvSpPr>
      <xdr:spPr>
        <a:xfrm>
          <a:off x="10646180" y="216160"/>
          <a:ext cx="2328066" cy="78153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9254F745-27CD-401A-94F3-8C06360EE933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702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212425</xdr:colOff>
      <xdr:row>1</xdr:row>
      <xdr:rowOff>68400</xdr:rowOff>
    </xdr:from>
    <xdr:to>
      <xdr:col>20</xdr:col>
      <xdr:colOff>381000</xdr:colOff>
      <xdr:row>5</xdr:row>
      <xdr:rowOff>68400</xdr:rowOff>
    </xdr:to>
    <xdr:sp macro="" textlink="traitement!B8">
      <xdr:nvSpPr>
        <xdr:cNvPr id="7" name="Rectangle : coins arrondis 6">
          <a:extLst>
            <a:ext uri="{FF2B5EF4-FFF2-40B4-BE49-F238E27FC236}">
              <a16:creationId xmlns:a16="http://schemas.microsoft.com/office/drawing/2014/main" id="{FEA8FD13-B645-4D7E-9D1F-DA1CCA4AE3AE}"/>
            </a:ext>
          </a:extLst>
        </xdr:cNvPr>
        <xdr:cNvSpPr/>
      </xdr:nvSpPr>
      <xdr:spPr>
        <a:xfrm>
          <a:off x="13083387" y="263785"/>
          <a:ext cx="2439921" cy="781538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8493A53F-ED14-41FF-8CB9-6BC4DAB5F46E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297 931,00 €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165825</xdr:colOff>
      <xdr:row>5</xdr:row>
      <xdr:rowOff>86334</xdr:rowOff>
    </xdr:from>
    <xdr:to>
      <xdr:col>18</xdr:col>
      <xdr:colOff>504825</xdr:colOff>
      <xdr:row>16</xdr:row>
      <xdr:rowOff>166291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CF853922-9116-4669-A922-A7B8925E3153}"/>
            </a:ext>
          </a:extLst>
        </xdr:cNvPr>
        <xdr:cNvSpPr/>
      </xdr:nvSpPr>
      <xdr:spPr>
        <a:xfrm>
          <a:off x="6241230" y="1051706"/>
          <a:ext cx="7933257" cy="2203774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66675</xdr:colOff>
      <xdr:row>5</xdr:row>
      <xdr:rowOff>116100</xdr:rowOff>
    </xdr:from>
    <xdr:to>
      <xdr:col>8</xdr:col>
      <xdr:colOff>108675</xdr:colOff>
      <xdr:row>17</xdr:row>
      <xdr:rowOff>21707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C0DF88CC-B1F2-4E36-8C19-7804D4A1683A}"/>
            </a:ext>
          </a:extLst>
        </xdr:cNvPr>
        <xdr:cNvSpPr/>
      </xdr:nvSpPr>
      <xdr:spPr>
        <a:xfrm>
          <a:off x="2338021" y="1093023"/>
          <a:ext cx="3827577" cy="2250222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13</xdr:col>
      <xdr:colOff>344366</xdr:colOff>
      <xdr:row>3</xdr:row>
      <xdr:rowOff>0</xdr:rowOff>
    </xdr:from>
    <xdr:to>
      <xdr:col>13</xdr:col>
      <xdr:colOff>627481</xdr:colOff>
      <xdr:row>4</xdr:row>
      <xdr:rowOff>97500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B04A2A56-FB47-BDF4-DB2F-E311CF384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86866" y="586154"/>
          <a:ext cx="283115" cy="292885"/>
        </a:xfrm>
        <a:prstGeom prst="rect">
          <a:avLst/>
        </a:prstGeom>
      </xdr:spPr>
    </xdr:pic>
    <xdr:clientData/>
  </xdr:twoCellAnchor>
  <xdr:twoCellAnchor editAs="oneCell">
    <xdr:from>
      <xdr:col>16</xdr:col>
      <xdr:colOff>342943</xdr:colOff>
      <xdr:row>3</xdr:row>
      <xdr:rowOff>22676</xdr:rowOff>
    </xdr:from>
    <xdr:to>
      <xdr:col>16</xdr:col>
      <xdr:colOff>630943</xdr:colOff>
      <xdr:row>4</xdr:row>
      <xdr:rowOff>120176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234C9ADD-8119-B203-C399-788B762F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6789" y="608830"/>
          <a:ext cx="288000" cy="292885"/>
        </a:xfrm>
        <a:prstGeom prst="rect">
          <a:avLst/>
        </a:prstGeom>
      </xdr:spPr>
    </xdr:pic>
    <xdr:clientData/>
  </xdr:twoCellAnchor>
  <xdr:twoCellAnchor editAs="oneCell">
    <xdr:from>
      <xdr:col>19</xdr:col>
      <xdr:colOff>697952</xdr:colOff>
      <xdr:row>3</xdr:row>
      <xdr:rowOff>97884</xdr:rowOff>
    </xdr:from>
    <xdr:to>
      <xdr:col>20</xdr:col>
      <xdr:colOff>228836</xdr:colOff>
      <xdr:row>4</xdr:row>
      <xdr:rowOff>193260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30AC1EE8-87AC-CAFF-F08F-ED3423729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083144" y="684038"/>
          <a:ext cx="288000" cy="292885"/>
        </a:xfrm>
        <a:prstGeom prst="rect">
          <a:avLst/>
        </a:prstGeom>
      </xdr:spPr>
    </xdr:pic>
    <xdr:clientData/>
  </xdr:twoCellAnchor>
  <xdr:twoCellAnchor editAs="oneCell">
    <xdr:from>
      <xdr:col>7</xdr:col>
      <xdr:colOff>567547</xdr:colOff>
      <xdr:row>3</xdr:row>
      <xdr:rowOff>33296</xdr:rowOff>
    </xdr:from>
    <xdr:to>
      <xdr:col>8</xdr:col>
      <xdr:colOff>93547</xdr:colOff>
      <xdr:row>4</xdr:row>
      <xdr:rowOff>130796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C3D36958-E6B7-9ED9-0166-C4A54269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82221" y="613079"/>
          <a:ext cx="285239" cy="290761"/>
        </a:xfrm>
        <a:prstGeom prst="rect">
          <a:avLst/>
        </a:prstGeom>
      </xdr:spPr>
    </xdr:pic>
    <xdr:clientData/>
  </xdr:twoCellAnchor>
  <xdr:twoCellAnchor editAs="oneCell">
    <xdr:from>
      <xdr:col>10</xdr:col>
      <xdr:colOff>193495</xdr:colOff>
      <xdr:row>3</xdr:row>
      <xdr:rowOff>45071</xdr:rowOff>
    </xdr:from>
    <xdr:to>
      <xdr:col>10</xdr:col>
      <xdr:colOff>481495</xdr:colOff>
      <xdr:row>4</xdr:row>
      <xdr:rowOff>142571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9CF497BC-C101-2675-A234-49768D2CB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785886" y="624854"/>
          <a:ext cx="288000" cy="290761"/>
        </a:xfrm>
        <a:prstGeom prst="rect">
          <a:avLst/>
        </a:prstGeom>
      </xdr:spPr>
    </xdr:pic>
    <xdr:clientData/>
  </xdr:twoCellAnchor>
  <xdr:twoCellAnchor editAs="oneCell">
    <xdr:from>
      <xdr:col>5</xdr:col>
      <xdr:colOff>59041</xdr:colOff>
      <xdr:row>3</xdr:row>
      <xdr:rowOff>11995</xdr:rowOff>
    </xdr:from>
    <xdr:to>
      <xdr:col>5</xdr:col>
      <xdr:colOff>344280</xdr:colOff>
      <xdr:row>4</xdr:row>
      <xdr:rowOff>109495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38F59B4F-A4B1-9977-9F7B-9A1DD4521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55237" y="591778"/>
          <a:ext cx="285239" cy="290761"/>
        </a:xfrm>
        <a:prstGeom prst="rect">
          <a:avLst/>
        </a:prstGeom>
      </xdr:spPr>
    </xdr:pic>
    <xdr:clientData/>
  </xdr:twoCellAnchor>
  <xdr:twoCellAnchor>
    <xdr:from>
      <xdr:col>5</xdr:col>
      <xdr:colOff>597675</xdr:colOff>
      <xdr:row>1</xdr:row>
      <xdr:rowOff>27609</xdr:rowOff>
    </xdr:from>
    <xdr:to>
      <xdr:col>8</xdr:col>
      <xdr:colOff>151848</xdr:colOff>
      <xdr:row>2</xdr:row>
      <xdr:rowOff>77925</xdr:rowOff>
    </xdr:to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4F03DE08-5900-D4E0-71DF-12146FA69E24}"/>
            </a:ext>
          </a:extLst>
        </xdr:cNvPr>
        <xdr:cNvSpPr txBox="1"/>
      </xdr:nvSpPr>
      <xdr:spPr>
        <a:xfrm>
          <a:off x="4393871" y="220870"/>
          <a:ext cx="1831890" cy="24357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VALEUR</a:t>
          </a:r>
          <a:r>
            <a:rPr lang="fr-FR" sz="14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DE STOCK</a:t>
          </a:r>
          <a:endParaRPr lang="fr-FR" sz="1400" b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8</xdr:col>
      <xdr:colOff>190500</xdr:colOff>
      <xdr:row>1</xdr:row>
      <xdr:rowOff>55218</xdr:rowOff>
    </xdr:from>
    <xdr:to>
      <xdr:col>10</xdr:col>
      <xdr:colOff>358913</xdr:colOff>
      <xdr:row>2</xdr:row>
      <xdr:rowOff>176631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91265588-BCAF-86C3-FC8F-C5A969543155}"/>
            </a:ext>
          </a:extLst>
        </xdr:cNvPr>
        <xdr:cNvSpPr txBox="1"/>
      </xdr:nvSpPr>
      <xdr:spPr>
        <a:xfrm>
          <a:off x="6264413" y="248479"/>
          <a:ext cx="1686891" cy="314674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</a:rPr>
            <a:t>TOTAL DES ENTREES</a:t>
          </a:r>
        </a:p>
      </xdr:txBody>
    </xdr:sp>
    <xdr:clientData/>
  </xdr:twoCellAnchor>
  <xdr:twoCellAnchor>
    <xdr:from>
      <xdr:col>10</xdr:col>
      <xdr:colOff>607392</xdr:colOff>
      <xdr:row>1</xdr:row>
      <xdr:rowOff>41413</xdr:rowOff>
    </xdr:from>
    <xdr:to>
      <xdr:col>13</xdr:col>
      <xdr:colOff>343625</xdr:colOff>
      <xdr:row>3</xdr:row>
      <xdr:rowOff>17880</xdr:rowOff>
    </xdr:to>
    <xdr:sp macro="" textlink="">
      <xdr:nvSpPr>
        <xdr:cNvPr id="38" name="ZoneTexte 37">
          <a:extLst>
            <a:ext uri="{FF2B5EF4-FFF2-40B4-BE49-F238E27FC236}">
              <a16:creationId xmlns:a16="http://schemas.microsoft.com/office/drawing/2014/main" id="{463861B5-6555-B2F6-895D-560501C1FBDD}"/>
            </a:ext>
          </a:extLst>
        </xdr:cNvPr>
        <xdr:cNvSpPr txBox="1"/>
      </xdr:nvSpPr>
      <xdr:spPr>
        <a:xfrm>
          <a:off x="8199783" y="234674"/>
          <a:ext cx="2013951" cy="362989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</a:rPr>
            <a:t>VALEUR DES ENTREES</a:t>
          </a:r>
        </a:p>
        <a:p>
          <a:endParaRPr lang="fr-FR" sz="1100"/>
        </a:p>
      </xdr:txBody>
    </xdr:sp>
    <xdr:clientData/>
  </xdr:twoCellAnchor>
  <xdr:twoCellAnchor>
    <xdr:from>
      <xdr:col>14</xdr:col>
      <xdr:colOff>110795</xdr:colOff>
      <xdr:row>1</xdr:row>
      <xdr:rowOff>50356</xdr:rowOff>
    </xdr:from>
    <xdr:to>
      <xdr:col>16</xdr:col>
      <xdr:colOff>358912</xdr:colOff>
      <xdr:row>3</xdr:row>
      <xdr:rowOff>51036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26242A3A-EA64-BE4F-615E-1819994C39C3}"/>
            </a:ext>
          </a:extLst>
        </xdr:cNvPr>
        <xdr:cNvSpPr txBox="1"/>
      </xdr:nvSpPr>
      <xdr:spPr>
        <a:xfrm>
          <a:off x="10740143" y="243617"/>
          <a:ext cx="1766595" cy="387202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</a:rPr>
            <a:t>TOTAL DES SORTIES</a:t>
          </a:r>
        </a:p>
      </xdr:txBody>
    </xdr:sp>
    <xdr:clientData/>
  </xdr:twoCellAnchor>
  <xdr:twoCellAnchor>
    <xdr:from>
      <xdr:col>17</xdr:col>
      <xdr:colOff>321265</xdr:colOff>
      <xdr:row>1</xdr:row>
      <xdr:rowOff>87592</xdr:rowOff>
    </xdr:from>
    <xdr:to>
      <xdr:col>19</xdr:col>
      <xdr:colOff>759238</xdr:colOff>
      <xdr:row>2</xdr:row>
      <xdr:rowOff>124239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6E6F473F-ED98-D01B-4289-663370D07588}"/>
            </a:ext>
          </a:extLst>
        </xdr:cNvPr>
        <xdr:cNvSpPr txBox="1"/>
      </xdr:nvSpPr>
      <xdr:spPr>
        <a:xfrm>
          <a:off x="13228330" y="280853"/>
          <a:ext cx="1956451" cy="229908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</a:rPr>
            <a:t>VALEUR DES SORTIES</a:t>
          </a:r>
        </a:p>
      </xdr:txBody>
    </xdr:sp>
    <xdr:clientData/>
  </xdr:twoCellAnchor>
  <xdr:twoCellAnchor>
    <xdr:from>
      <xdr:col>4</xdr:col>
      <xdr:colOff>741325</xdr:colOff>
      <xdr:row>5</xdr:row>
      <xdr:rowOff>8484</xdr:rowOff>
    </xdr:from>
    <xdr:to>
      <xdr:col>8</xdr:col>
      <xdr:colOff>210174</xdr:colOff>
      <xdr:row>17</xdr:row>
      <xdr:rowOff>125764</xdr:rowOff>
    </xdr:to>
    <xdr:graphicFrame macro="">
      <xdr:nvGraphicFramePr>
        <xdr:cNvPr id="58" name="Graphique 57">
          <a:extLst>
            <a:ext uri="{FF2B5EF4-FFF2-40B4-BE49-F238E27FC236}">
              <a16:creationId xmlns:a16="http://schemas.microsoft.com/office/drawing/2014/main" id="{DF9F8325-1840-49D2-883F-88B2DE22C2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48847</xdr:colOff>
      <xdr:row>5</xdr:row>
      <xdr:rowOff>9524</xdr:rowOff>
    </xdr:from>
    <xdr:to>
      <xdr:col>6</xdr:col>
      <xdr:colOff>180954</xdr:colOff>
      <xdr:row>18</xdr:row>
      <xdr:rowOff>0</xdr:rowOff>
    </xdr:to>
    <xdr:graphicFrame macro="">
      <xdr:nvGraphicFramePr>
        <xdr:cNvPr id="59" name="Graphique 58">
          <a:extLst>
            <a:ext uri="{FF2B5EF4-FFF2-40B4-BE49-F238E27FC236}">
              <a16:creationId xmlns:a16="http://schemas.microsoft.com/office/drawing/2014/main" id="{D412007A-1FBA-4403-A41F-41E7BDE461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445077</xdr:colOff>
      <xdr:row>5</xdr:row>
      <xdr:rowOff>183174</xdr:rowOff>
    </xdr:from>
    <xdr:to>
      <xdr:col>5</xdr:col>
      <xdr:colOff>461877</xdr:colOff>
      <xdr:row>17</xdr:row>
      <xdr:rowOff>67747</xdr:rowOff>
    </xdr:to>
    <xdr:cxnSp macro="">
      <xdr:nvCxnSpPr>
        <xdr:cNvPr id="61" name="Connecteur droit 60">
          <a:extLst>
            <a:ext uri="{FF2B5EF4-FFF2-40B4-BE49-F238E27FC236}">
              <a16:creationId xmlns:a16="http://schemas.microsoft.com/office/drawing/2014/main" id="{C1399D65-23AA-A47D-7D3D-BDF372FF13DD}"/>
            </a:ext>
          </a:extLst>
        </xdr:cNvPr>
        <xdr:cNvCxnSpPr/>
      </xdr:nvCxnSpPr>
      <xdr:spPr>
        <a:xfrm>
          <a:off x="4230654" y="1160097"/>
          <a:ext cx="16800" cy="22291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272325</xdr:colOff>
      <xdr:row>5</xdr:row>
      <xdr:rowOff>16275</xdr:rowOff>
    </xdr:from>
    <xdr:to>
      <xdr:col>11</xdr:col>
      <xdr:colOff>272031</xdr:colOff>
      <xdr:row>17</xdr:row>
      <xdr:rowOff>35749</xdr:rowOff>
    </xdr:to>
    <xdr:graphicFrame macro="">
      <xdr:nvGraphicFramePr>
        <xdr:cNvPr id="62" name="Graphique 61">
          <a:extLst>
            <a:ext uri="{FF2B5EF4-FFF2-40B4-BE49-F238E27FC236}">
              <a16:creationId xmlns:a16="http://schemas.microsoft.com/office/drawing/2014/main" id="{C192CC24-D01E-4332-97B7-718ABE2709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763983</xdr:colOff>
      <xdr:row>5</xdr:row>
      <xdr:rowOff>66491</xdr:rowOff>
    </xdr:from>
    <xdr:to>
      <xdr:col>14</xdr:col>
      <xdr:colOff>29765</xdr:colOff>
      <xdr:row>17</xdr:row>
      <xdr:rowOff>0</xdr:rowOff>
    </xdr:to>
    <xdr:graphicFrame macro="">
      <xdr:nvGraphicFramePr>
        <xdr:cNvPr id="63" name="Graphique 62">
          <a:extLst>
            <a:ext uri="{FF2B5EF4-FFF2-40B4-BE49-F238E27FC236}">
              <a16:creationId xmlns:a16="http://schemas.microsoft.com/office/drawing/2014/main" id="{3DFC99C4-BB20-402E-9B29-7BD99BCF5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248478</xdr:colOff>
      <xdr:row>5</xdr:row>
      <xdr:rowOff>52687</xdr:rowOff>
    </xdr:from>
    <xdr:to>
      <xdr:col>17</xdr:col>
      <xdr:colOff>331304</xdr:colOff>
      <xdr:row>17</xdr:row>
      <xdr:rowOff>7902</xdr:rowOff>
    </xdr:to>
    <xdr:graphicFrame macro="">
      <xdr:nvGraphicFramePr>
        <xdr:cNvPr id="8194" name="Graphique 8193">
          <a:extLst>
            <a:ext uri="{FF2B5EF4-FFF2-40B4-BE49-F238E27FC236}">
              <a16:creationId xmlns:a16="http://schemas.microsoft.com/office/drawing/2014/main" id="{66E7F866-3C79-48AF-8BD8-2311FD184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224636</xdr:colOff>
      <xdr:row>5</xdr:row>
      <xdr:rowOff>116100</xdr:rowOff>
    </xdr:from>
    <xdr:to>
      <xdr:col>20</xdr:col>
      <xdr:colOff>420188</xdr:colOff>
      <xdr:row>16</xdr:row>
      <xdr:rowOff>159920</xdr:rowOff>
    </xdr:to>
    <xdr:graphicFrame macro="">
      <xdr:nvGraphicFramePr>
        <xdr:cNvPr id="8195" name="Graphique 8194">
          <a:extLst>
            <a:ext uri="{FF2B5EF4-FFF2-40B4-BE49-F238E27FC236}">
              <a16:creationId xmlns:a16="http://schemas.microsoft.com/office/drawing/2014/main" id="{D281EBCE-98F0-4F8C-8D9C-EA7F9661A3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410534</xdr:colOff>
      <xdr:row>7</xdr:row>
      <xdr:rowOff>84160</xdr:rowOff>
    </xdr:from>
    <xdr:to>
      <xdr:col>5</xdr:col>
      <xdr:colOff>35160</xdr:colOff>
      <xdr:row>13</xdr:row>
      <xdr:rowOff>62424</xdr:rowOff>
    </xdr:to>
    <xdr:sp macro="" textlink="">
      <xdr:nvSpPr>
        <xdr:cNvPr id="8196" name="Organigramme : Connecteur 8195">
          <a:extLst>
            <a:ext uri="{FF2B5EF4-FFF2-40B4-BE49-F238E27FC236}">
              <a16:creationId xmlns:a16="http://schemas.microsoft.com/office/drawing/2014/main" id="{C72D1454-6B91-9359-F6F5-24C4E8597C51}"/>
            </a:ext>
          </a:extLst>
        </xdr:cNvPr>
        <xdr:cNvSpPr/>
      </xdr:nvSpPr>
      <xdr:spPr>
        <a:xfrm>
          <a:off x="2688251" y="1436986"/>
          <a:ext cx="1143105" cy="1137829"/>
        </a:xfrm>
        <a:prstGeom prst="flowChartConnector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/>
            <a:t>STOCK</a:t>
          </a:r>
          <a:r>
            <a:rPr lang="fr-FR" sz="1000" b="1" baseline="0"/>
            <a:t> PAR CATEGORIE</a:t>
          </a:r>
          <a:endParaRPr lang="fr-FR" sz="1000" b="1"/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344366</xdr:colOff>
      <xdr:row>12</xdr:row>
      <xdr:rowOff>193073</xdr:rowOff>
    </xdr:to>
    <xdr:sp macro="" textlink="">
      <xdr:nvSpPr>
        <xdr:cNvPr id="8207" name="Organigramme : Connecteur 8206">
          <a:extLst>
            <a:ext uri="{FF2B5EF4-FFF2-40B4-BE49-F238E27FC236}">
              <a16:creationId xmlns:a16="http://schemas.microsoft.com/office/drawing/2014/main" id="{430DFE60-90C6-4E93-A317-50D62B237F64}"/>
            </a:ext>
          </a:extLst>
        </xdr:cNvPr>
        <xdr:cNvSpPr/>
      </xdr:nvSpPr>
      <xdr:spPr>
        <a:xfrm>
          <a:off x="9113108" y="1351520"/>
          <a:ext cx="1103792" cy="1158445"/>
        </a:xfrm>
        <a:prstGeom prst="flowChartConnector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50" b="1"/>
            <a:t>Valeur</a:t>
          </a:r>
          <a:r>
            <a:rPr lang="fr-FR" sz="1050" b="1" baseline="0"/>
            <a:t> des entrees / categorie</a:t>
          </a:r>
          <a:endParaRPr lang="fr-FR" sz="1050" b="1"/>
        </a:p>
      </xdr:txBody>
    </xdr:sp>
    <xdr:clientData/>
  </xdr:twoCellAnchor>
  <xdr:twoCellAnchor>
    <xdr:from>
      <xdr:col>11</xdr:col>
      <xdr:colOff>23668</xdr:colOff>
      <xdr:row>5</xdr:row>
      <xdr:rowOff>78793</xdr:rowOff>
    </xdr:from>
    <xdr:to>
      <xdr:col>11</xdr:col>
      <xdr:colOff>40468</xdr:colOff>
      <xdr:row>16</xdr:row>
      <xdr:rowOff>158750</xdr:rowOff>
    </xdr:to>
    <xdr:cxnSp macro="">
      <xdr:nvCxnSpPr>
        <xdr:cNvPr id="8213" name="Connecteur droit 8212">
          <a:extLst>
            <a:ext uri="{FF2B5EF4-FFF2-40B4-BE49-F238E27FC236}">
              <a16:creationId xmlns:a16="http://schemas.microsoft.com/office/drawing/2014/main" id="{44051082-A149-4AD3-BCC7-BB84F284DDED}"/>
            </a:ext>
          </a:extLst>
        </xdr:cNvPr>
        <xdr:cNvCxnSpPr/>
      </xdr:nvCxnSpPr>
      <xdr:spPr>
        <a:xfrm>
          <a:off x="8351937" y="1055716"/>
          <a:ext cx="16800" cy="22291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209221</xdr:colOff>
      <xdr:row>5</xdr:row>
      <xdr:rowOff>115427</xdr:rowOff>
    </xdr:from>
    <xdr:to>
      <xdr:col>14</xdr:col>
      <xdr:colOff>226021</xdr:colOff>
      <xdr:row>17</xdr:row>
      <xdr:rowOff>0</xdr:rowOff>
    </xdr:to>
    <xdr:cxnSp macro="">
      <xdr:nvCxnSpPr>
        <xdr:cNvPr id="8214" name="Connecteur droit 8213">
          <a:extLst>
            <a:ext uri="{FF2B5EF4-FFF2-40B4-BE49-F238E27FC236}">
              <a16:creationId xmlns:a16="http://schemas.microsoft.com/office/drawing/2014/main" id="{8F9D0C05-DBB1-405F-A90E-077BD865F05B}"/>
            </a:ext>
          </a:extLst>
        </xdr:cNvPr>
        <xdr:cNvCxnSpPr/>
      </xdr:nvCxnSpPr>
      <xdr:spPr>
        <a:xfrm>
          <a:off x="10838569" y="1081731"/>
          <a:ext cx="16800" cy="220370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321578</xdr:colOff>
      <xdr:row>5</xdr:row>
      <xdr:rowOff>86334</xdr:rowOff>
    </xdr:from>
    <xdr:to>
      <xdr:col>17</xdr:col>
      <xdr:colOff>338378</xdr:colOff>
      <xdr:row>16</xdr:row>
      <xdr:rowOff>166291</xdr:rowOff>
    </xdr:to>
    <xdr:cxnSp macro="">
      <xdr:nvCxnSpPr>
        <xdr:cNvPr id="8215" name="Connecteur droit 8214">
          <a:extLst>
            <a:ext uri="{FF2B5EF4-FFF2-40B4-BE49-F238E27FC236}">
              <a16:creationId xmlns:a16="http://schemas.microsoft.com/office/drawing/2014/main" id="{D5B1915A-B8F6-4A7A-9E2D-663CE9AF4D9F}"/>
            </a:ext>
          </a:extLst>
        </xdr:cNvPr>
        <xdr:cNvCxnSpPr/>
      </xdr:nvCxnSpPr>
      <xdr:spPr>
        <a:xfrm>
          <a:off x="13228643" y="1052638"/>
          <a:ext cx="16800" cy="2205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36415</xdr:colOff>
      <xdr:row>17</xdr:row>
      <xdr:rowOff>67748</xdr:rowOff>
    </xdr:from>
    <xdr:to>
      <xdr:col>8</xdr:col>
      <xdr:colOff>78415</xdr:colOff>
      <xdr:row>29</xdr:row>
      <xdr:rowOff>134327</xdr:rowOff>
    </xdr:to>
    <xdr:sp macro="" textlink="">
      <xdr:nvSpPr>
        <xdr:cNvPr id="8216" name="Rectangle : coins arrondis 8215">
          <a:extLst>
            <a:ext uri="{FF2B5EF4-FFF2-40B4-BE49-F238E27FC236}">
              <a16:creationId xmlns:a16="http://schemas.microsoft.com/office/drawing/2014/main" id="{B6A4B3AA-5146-411A-8CFE-DECACDAD083E}"/>
            </a:ext>
          </a:extLst>
        </xdr:cNvPr>
        <xdr:cNvSpPr/>
      </xdr:nvSpPr>
      <xdr:spPr>
        <a:xfrm>
          <a:off x="2314132" y="3353183"/>
          <a:ext cx="3838196" cy="2385709"/>
        </a:xfrm>
        <a:prstGeom prst="roundRect">
          <a:avLst/>
        </a:prstGeom>
        <a:solidFill>
          <a:srgbClr val="F2E9FF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115844</xdr:colOff>
      <xdr:row>17</xdr:row>
      <xdr:rowOff>76659</xdr:rowOff>
    </xdr:from>
    <xdr:to>
      <xdr:col>13</xdr:col>
      <xdr:colOff>665095</xdr:colOff>
      <xdr:row>29</xdr:row>
      <xdr:rowOff>100421</xdr:rowOff>
    </xdr:to>
    <xdr:sp macro="" textlink="">
      <xdr:nvSpPr>
        <xdr:cNvPr id="8217" name="Rectangle : coins arrondis 8216">
          <a:extLst>
            <a:ext uri="{FF2B5EF4-FFF2-40B4-BE49-F238E27FC236}">
              <a16:creationId xmlns:a16="http://schemas.microsoft.com/office/drawing/2014/main" id="{441FAA1C-18E7-4B05-AAD3-206B1710E301}"/>
            </a:ext>
          </a:extLst>
        </xdr:cNvPr>
        <xdr:cNvSpPr/>
      </xdr:nvSpPr>
      <xdr:spPr>
        <a:xfrm>
          <a:off x="6191249" y="3358923"/>
          <a:ext cx="4346380" cy="2340653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31203</xdr:colOff>
      <xdr:row>17</xdr:row>
      <xdr:rowOff>143770</xdr:rowOff>
    </xdr:from>
    <xdr:to>
      <xdr:col>20</xdr:col>
      <xdr:colOff>392579</xdr:colOff>
      <xdr:row>29</xdr:row>
      <xdr:rowOff>51500</xdr:rowOff>
    </xdr:to>
    <xdr:sp macro="" textlink="">
      <xdr:nvSpPr>
        <xdr:cNvPr id="8218" name="Rectangle : coins arrondis 8217">
          <a:extLst>
            <a:ext uri="{FF2B5EF4-FFF2-40B4-BE49-F238E27FC236}">
              <a16:creationId xmlns:a16="http://schemas.microsoft.com/office/drawing/2014/main" id="{75CF977E-B83B-42F0-A63B-5A9C74A36076}"/>
            </a:ext>
          </a:extLst>
        </xdr:cNvPr>
        <xdr:cNvSpPr/>
      </xdr:nvSpPr>
      <xdr:spPr>
        <a:xfrm>
          <a:off x="10660551" y="3429205"/>
          <a:ext cx="4916811" cy="2226860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210174</xdr:colOff>
      <xdr:row>18</xdr:row>
      <xdr:rowOff>21124</xdr:rowOff>
    </xdr:from>
    <xdr:to>
      <xdr:col>14</xdr:col>
      <xdr:colOff>745486</xdr:colOff>
      <xdr:row>31</xdr:row>
      <xdr:rowOff>148124</xdr:rowOff>
    </xdr:to>
    <xdr:graphicFrame macro="">
      <xdr:nvGraphicFramePr>
        <xdr:cNvPr id="8220" name="Graphique 8219">
          <a:extLst>
            <a:ext uri="{FF2B5EF4-FFF2-40B4-BE49-F238E27FC236}">
              <a16:creationId xmlns:a16="http://schemas.microsoft.com/office/drawing/2014/main" id="{3072F0C4-5494-4C6C-AA84-01DCDCE87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292351</xdr:colOff>
      <xdr:row>17</xdr:row>
      <xdr:rowOff>76659</xdr:rowOff>
    </xdr:from>
    <xdr:to>
      <xdr:col>19</xdr:col>
      <xdr:colOff>757115</xdr:colOff>
      <xdr:row>29</xdr:row>
      <xdr:rowOff>0</xdr:rowOff>
    </xdr:to>
    <xdr:graphicFrame macro="">
      <xdr:nvGraphicFramePr>
        <xdr:cNvPr id="8221" name="Graphique 8220">
          <a:extLst>
            <a:ext uri="{FF2B5EF4-FFF2-40B4-BE49-F238E27FC236}">
              <a16:creationId xmlns:a16="http://schemas.microsoft.com/office/drawing/2014/main" id="{51586B5F-83F1-422D-A756-57E97F98F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259658</xdr:colOff>
      <xdr:row>17</xdr:row>
      <xdr:rowOff>115274</xdr:rowOff>
    </xdr:from>
    <xdr:to>
      <xdr:col>12</xdr:col>
      <xdr:colOff>358913</xdr:colOff>
      <xdr:row>19</xdr:row>
      <xdr:rowOff>115275</xdr:rowOff>
    </xdr:to>
    <xdr:sp macro="" textlink="">
      <xdr:nvSpPr>
        <xdr:cNvPr id="8223" name="ZoneTexte 8222">
          <a:extLst>
            <a:ext uri="{FF2B5EF4-FFF2-40B4-BE49-F238E27FC236}">
              <a16:creationId xmlns:a16="http://schemas.microsoft.com/office/drawing/2014/main" id="{0715D406-7913-09A4-B6CD-813C06155B74}"/>
            </a:ext>
          </a:extLst>
        </xdr:cNvPr>
        <xdr:cNvSpPr txBox="1"/>
      </xdr:nvSpPr>
      <xdr:spPr>
        <a:xfrm>
          <a:off x="6333571" y="3400709"/>
          <a:ext cx="3136212" cy="38652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accent1"/>
              </a:solidFill>
            </a:rPr>
            <a:t>Total des entrees par mois</a:t>
          </a:r>
        </a:p>
      </xdr:txBody>
    </xdr:sp>
    <xdr:clientData/>
  </xdr:twoCellAnchor>
  <xdr:twoCellAnchor>
    <xdr:from>
      <xdr:col>3</xdr:col>
      <xdr:colOff>18269</xdr:colOff>
      <xdr:row>29</xdr:row>
      <xdr:rowOff>186537</xdr:rowOff>
    </xdr:from>
    <xdr:to>
      <xdr:col>8</xdr:col>
      <xdr:colOff>60269</xdr:colOff>
      <xdr:row>42</xdr:row>
      <xdr:rowOff>193073</xdr:rowOff>
    </xdr:to>
    <xdr:sp macro="" textlink="">
      <xdr:nvSpPr>
        <xdr:cNvPr id="8224" name="Rectangle : coins arrondis 8223">
          <a:extLst>
            <a:ext uri="{FF2B5EF4-FFF2-40B4-BE49-F238E27FC236}">
              <a16:creationId xmlns:a16="http://schemas.microsoft.com/office/drawing/2014/main" id="{8F065596-E648-4A9A-BB83-B334B6937394}"/>
            </a:ext>
          </a:extLst>
        </xdr:cNvPr>
        <xdr:cNvSpPr/>
      </xdr:nvSpPr>
      <xdr:spPr>
        <a:xfrm>
          <a:off x="2296546" y="5785692"/>
          <a:ext cx="3839128" cy="2516503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162891</xdr:colOff>
      <xdr:row>29</xdr:row>
      <xdr:rowOff>179457</xdr:rowOff>
    </xdr:from>
    <xdr:to>
      <xdr:col>13</xdr:col>
      <xdr:colOff>731630</xdr:colOff>
      <xdr:row>42</xdr:row>
      <xdr:rowOff>179456</xdr:rowOff>
    </xdr:to>
    <xdr:sp macro="" textlink="">
      <xdr:nvSpPr>
        <xdr:cNvPr id="8225" name="Rectangle : coins arrondis 8224">
          <a:extLst>
            <a:ext uri="{FF2B5EF4-FFF2-40B4-BE49-F238E27FC236}">
              <a16:creationId xmlns:a16="http://schemas.microsoft.com/office/drawing/2014/main" id="{B0EABE46-AF80-40A8-A426-D62E34A6A978}"/>
            </a:ext>
          </a:extLst>
        </xdr:cNvPr>
        <xdr:cNvSpPr/>
      </xdr:nvSpPr>
      <xdr:spPr>
        <a:xfrm>
          <a:off x="6236804" y="5784022"/>
          <a:ext cx="4364935" cy="2512391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100226</xdr:colOff>
      <xdr:row>30</xdr:row>
      <xdr:rowOff>13806</xdr:rowOff>
    </xdr:from>
    <xdr:to>
      <xdr:col>20</xdr:col>
      <xdr:colOff>461601</xdr:colOff>
      <xdr:row>43</xdr:row>
      <xdr:rowOff>13806</xdr:rowOff>
    </xdr:to>
    <xdr:sp macro="" textlink="">
      <xdr:nvSpPr>
        <xdr:cNvPr id="8226" name="Rectangle : coins arrondis 8225">
          <a:extLst>
            <a:ext uri="{FF2B5EF4-FFF2-40B4-BE49-F238E27FC236}">
              <a16:creationId xmlns:a16="http://schemas.microsoft.com/office/drawing/2014/main" id="{5F2E59D4-C7BE-4584-A168-60285D14A55E}"/>
            </a:ext>
          </a:extLst>
        </xdr:cNvPr>
        <xdr:cNvSpPr/>
      </xdr:nvSpPr>
      <xdr:spPr>
        <a:xfrm>
          <a:off x="10729574" y="5811632"/>
          <a:ext cx="4916810" cy="2512391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272324</xdr:colOff>
      <xdr:row>29</xdr:row>
      <xdr:rowOff>163786</xdr:rowOff>
    </xdr:from>
    <xdr:to>
      <xdr:col>12</xdr:col>
      <xdr:colOff>593587</xdr:colOff>
      <xdr:row>31</xdr:row>
      <xdr:rowOff>163787</xdr:rowOff>
    </xdr:to>
    <xdr:sp macro="" textlink="">
      <xdr:nvSpPr>
        <xdr:cNvPr id="8227" name="ZoneTexte 8226">
          <a:extLst>
            <a:ext uri="{FF2B5EF4-FFF2-40B4-BE49-F238E27FC236}">
              <a16:creationId xmlns:a16="http://schemas.microsoft.com/office/drawing/2014/main" id="{8B7EF9BC-B84B-4AC7-B51B-8D8D19474DA7}"/>
            </a:ext>
          </a:extLst>
        </xdr:cNvPr>
        <xdr:cNvSpPr txBox="1"/>
      </xdr:nvSpPr>
      <xdr:spPr>
        <a:xfrm>
          <a:off x="6346237" y="5768351"/>
          <a:ext cx="3358220" cy="386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accent1"/>
              </a:solidFill>
            </a:rPr>
            <a:t>Valeur des entrees par mois</a:t>
          </a:r>
        </a:p>
      </xdr:txBody>
    </xdr:sp>
    <xdr:clientData/>
  </xdr:twoCellAnchor>
  <xdr:twoCellAnchor>
    <xdr:from>
      <xdr:col>14</xdr:col>
      <xdr:colOff>212719</xdr:colOff>
      <xdr:row>29</xdr:row>
      <xdr:rowOff>173602</xdr:rowOff>
    </xdr:from>
    <xdr:to>
      <xdr:col>18</xdr:col>
      <xdr:colOff>220870</xdr:colOff>
      <xdr:row>31</xdr:row>
      <xdr:rowOff>173602</xdr:rowOff>
    </xdr:to>
    <xdr:sp macro="" textlink="">
      <xdr:nvSpPr>
        <xdr:cNvPr id="8228" name="ZoneTexte 8227">
          <a:extLst>
            <a:ext uri="{FF2B5EF4-FFF2-40B4-BE49-F238E27FC236}">
              <a16:creationId xmlns:a16="http://schemas.microsoft.com/office/drawing/2014/main" id="{C8646F0D-A64A-469E-B5EF-D48C8FEC0B53}"/>
            </a:ext>
          </a:extLst>
        </xdr:cNvPr>
        <xdr:cNvSpPr txBox="1"/>
      </xdr:nvSpPr>
      <xdr:spPr>
        <a:xfrm>
          <a:off x="10842067" y="5778167"/>
          <a:ext cx="3045107" cy="3865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accent1"/>
              </a:solidFill>
            </a:rPr>
            <a:t>Valeur</a:t>
          </a:r>
          <a:r>
            <a:rPr lang="fr-FR" sz="1800" b="1" baseline="0">
              <a:solidFill>
                <a:schemeClr val="accent1"/>
              </a:solidFill>
            </a:rPr>
            <a:t> des sorties</a:t>
          </a:r>
          <a:r>
            <a:rPr lang="fr-FR" sz="1800" b="1">
              <a:solidFill>
                <a:schemeClr val="accent1"/>
              </a:solidFill>
            </a:rPr>
            <a:t> par mois</a:t>
          </a:r>
        </a:p>
      </xdr:txBody>
    </xdr:sp>
    <xdr:clientData/>
  </xdr:twoCellAnchor>
  <xdr:twoCellAnchor>
    <xdr:from>
      <xdr:col>8</xdr:col>
      <xdr:colOff>138044</xdr:colOff>
      <xdr:row>31</xdr:row>
      <xdr:rowOff>57822</xdr:rowOff>
    </xdr:from>
    <xdr:to>
      <xdr:col>13</xdr:col>
      <xdr:colOff>627481</xdr:colOff>
      <xdr:row>41</xdr:row>
      <xdr:rowOff>179456</xdr:rowOff>
    </xdr:to>
    <xdr:graphicFrame macro="">
      <xdr:nvGraphicFramePr>
        <xdr:cNvPr id="8230" name="Graphique 8229">
          <a:extLst>
            <a:ext uri="{FF2B5EF4-FFF2-40B4-BE49-F238E27FC236}">
              <a16:creationId xmlns:a16="http://schemas.microsoft.com/office/drawing/2014/main" id="{883AD5AE-0D2D-4A71-AB5A-453781743D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298397</xdr:colOff>
      <xdr:row>7</xdr:row>
      <xdr:rowOff>85480</xdr:rowOff>
    </xdr:from>
    <xdr:to>
      <xdr:col>7</xdr:col>
      <xdr:colOff>682448</xdr:colOff>
      <xdr:row>13</xdr:row>
      <xdr:rowOff>63744</xdr:rowOff>
    </xdr:to>
    <xdr:sp macro="" textlink="">
      <xdr:nvSpPr>
        <xdr:cNvPr id="8232" name="Organigramme : Connecteur 8231">
          <a:extLst>
            <a:ext uri="{FF2B5EF4-FFF2-40B4-BE49-F238E27FC236}">
              <a16:creationId xmlns:a16="http://schemas.microsoft.com/office/drawing/2014/main" id="{24599B86-CF65-4260-9D1F-38CD1DC29151}"/>
            </a:ext>
          </a:extLst>
        </xdr:cNvPr>
        <xdr:cNvSpPr/>
      </xdr:nvSpPr>
      <xdr:spPr>
        <a:xfrm>
          <a:off x="4854951" y="1437000"/>
          <a:ext cx="1143477" cy="1136710"/>
        </a:xfrm>
        <a:prstGeom prst="flowChartConnector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/>
            <a:t>STOCK</a:t>
          </a:r>
          <a:r>
            <a:rPr lang="fr-FR" sz="1000" b="1" baseline="0"/>
            <a:t> PAR CATEGORIE</a:t>
          </a:r>
          <a:endParaRPr lang="fr-FR" sz="1000" b="1"/>
        </a:p>
      </xdr:txBody>
    </xdr:sp>
    <xdr:clientData/>
  </xdr:twoCellAnchor>
  <xdr:twoCellAnchor>
    <xdr:from>
      <xdr:col>15</xdr:col>
      <xdr:colOff>231249</xdr:colOff>
      <xdr:row>6</xdr:row>
      <xdr:rowOff>183174</xdr:rowOff>
    </xdr:from>
    <xdr:to>
      <xdr:col>16</xdr:col>
      <xdr:colOff>524566</xdr:colOff>
      <xdr:row>12</xdr:row>
      <xdr:rowOff>110436</xdr:rowOff>
    </xdr:to>
    <xdr:sp macro="" textlink="">
      <xdr:nvSpPr>
        <xdr:cNvPr id="8233" name="Organigramme : Connecteur 8232">
          <a:extLst>
            <a:ext uri="{FF2B5EF4-FFF2-40B4-BE49-F238E27FC236}">
              <a16:creationId xmlns:a16="http://schemas.microsoft.com/office/drawing/2014/main" id="{AACDBC90-E147-4DB2-8F56-E89DB9759F0D}"/>
            </a:ext>
          </a:extLst>
        </xdr:cNvPr>
        <xdr:cNvSpPr/>
      </xdr:nvSpPr>
      <xdr:spPr>
        <a:xfrm>
          <a:off x="11619836" y="1342739"/>
          <a:ext cx="1052556" cy="1086827"/>
        </a:xfrm>
        <a:prstGeom prst="flowChartConnector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/>
            <a:t>STOCK</a:t>
          </a:r>
          <a:r>
            <a:rPr lang="fr-FR" sz="1000" b="1" baseline="0"/>
            <a:t> PAR CATEGORIE</a:t>
          </a:r>
          <a:endParaRPr lang="fr-FR" sz="1000" b="1"/>
        </a:p>
      </xdr:txBody>
    </xdr:sp>
    <xdr:clientData/>
  </xdr:twoCellAnchor>
  <xdr:twoCellAnchor>
    <xdr:from>
      <xdr:col>18</xdr:col>
      <xdr:colOff>154460</xdr:colOff>
      <xdr:row>7</xdr:row>
      <xdr:rowOff>21736</xdr:rowOff>
    </xdr:from>
    <xdr:to>
      <xdr:col>19</xdr:col>
      <xdr:colOff>538511</xdr:colOff>
      <xdr:row>13</xdr:row>
      <xdr:rowOff>0</xdr:rowOff>
    </xdr:to>
    <xdr:sp macro="" textlink="">
      <xdr:nvSpPr>
        <xdr:cNvPr id="8234" name="Organigramme : Connecteur 8233">
          <a:extLst>
            <a:ext uri="{FF2B5EF4-FFF2-40B4-BE49-F238E27FC236}">
              <a16:creationId xmlns:a16="http://schemas.microsoft.com/office/drawing/2014/main" id="{6B9DDF6E-7D37-4055-AE6A-42B9124EA698}"/>
            </a:ext>
          </a:extLst>
        </xdr:cNvPr>
        <xdr:cNvSpPr/>
      </xdr:nvSpPr>
      <xdr:spPr>
        <a:xfrm>
          <a:off x="13820764" y="1374562"/>
          <a:ext cx="1143290" cy="1137829"/>
        </a:xfrm>
        <a:prstGeom prst="flowChartConnector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/>
            <a:t>STOCK</a:t>
          </a:r>
          <a:r>
            <a:rPr lang="fr-FR" sz="1000" b="1" baseline="0"/>
            <a:t> PAR CATEGORIE</a:t>
          </a:r>
          <a:endParaRPr lang="fr-FR" sz="1000" b="1"/>
        </a:p>
      </xdr:txBody>
    </xdr:sp>
    <xdr:clientData/>
  </xdr:twoCellAnchor>
  <xdr:twoCellAnchor>
    <xdr:from>
      <xdr:col>8</xdr:col>
      <xdr:colOff>741999</xdr:colOff>
      <xdr:row>7</xdr:row>
      <xdr:rowOff>156816</xdr:rowOff>
    </xdr:from>
    <xdr:to>
      <xdr:col>10</xdr:col>
      <xdr:colOff>303697</xdr:colOff>
      <xdr:row>13</xdr:row>
      <xdr:rowOff>62424</xdr:rowOff>
    </xdr:to>
    <xdr:sp macro="" textlink="">
      <xdr:nvSpPr>
        <xdr:cNvPr id="8235" name="Organigramme : Connecteur 8234">
          <a:extLst>
            <a:ext uri="{FF2B5EF4-FFF2-40B4-BE49-F238E27FC236}">
              <a16:creationId xmlns:a16="http://schemas.microsoft.com/office/drawing/2014/main" id="{48F6F455-BB70-4790-B011-B3240710C957}"/>
            </a:ext>
          </a:extLst>
        </xdr:cNvPr>
        <xdr:cNvSpPr/>
      </xdr:nvSpPr>
      <xdr:spPr>
        <a:xfrm>
          <a:off x="6815912" y="1509642"/>
          <a:ext cx="1080176" cy="1065173"/>
        </a:xfrm>
        <a:prstGeom prst="flowChartConnector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/>
            <a:t>STOCK</a:t>
          </a:r>
          <a:r>
            <a:rPr lang="fr-FR" sz="1000" b="1" baseline="0"/>
            <a:t> PAR CATEGORIE</a:t>
          </a:r>
          <a:endParaRPr lang="fr-FR" sz="1000" b="1"/>
        </a:p>
      </xdr:txBody>
    </xdr:sp>
    <xdr:clientData/>
  </xdr:twoCellAnchor>
  <xdr:twoCellAnchor>
    <xdr:from>
      <xdr:col>2</xdr:col>
      <xdr:colOff>757914</xdr:colOff>
      <xdr:row>33</xdr:row>
      <xdr:rowOff>43083</xdr:rowOff>
    </xdr:from>
    <xdr:to>
      <xdr:col>5</xdr:col>
      <xdr:colOff>179456</xdr:colOff>
      <xdr:row>35</xdr:row>
      <xdr:rowOff>43085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A094C2CF-904B-4C02-A7D4-0F11E53E0D90}"/>
            </a:ext>
          </a:extLst>
        </xdr:cNvPr>
        <xdr:cNvSpPr txBox="1"/>
      </xdr:nvSpPr>
      <xdr:spPr>
        <a:xfrm>
          <a:off x="2276392" y="6420692"/>
          <a:ext cx="1699260" cy="38652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accent1"/>
              </a:solidFill>
            </a:rPr>
            <a:t>Cuisinière CANDY</a:t>
          </a:r>
        </a:p>
      </xdr:txBody>
    </xdr:sp>
    <xdr:clientData/>
  </xdr:twoCellAnchor>
  <xdr:twoCellAnchor>
    <xdr:from>
      <xdr:col>2</xdr:col>
      <xdr:colOff>757914</xdr:colOff>
      <xdr:row>36</xdr:row>
      <xdr:rowOff>14640</xdr:rowOff>
    </xdr:from>
    <xdr:to>
      <xdr:col>5</xdr:col>
      <xdr:colOff>289892</xdr:colOff>
      <xdr:row>38</xdr:row>
      <xdr:rowOff>14641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2F6E63CD-02C8-46A1-AFDB-E63D32A5E3F9}"/>
            </a:ext>
          </a:extLst>
        </xdr:cNvPr>
        <xdr:cNvSpPr txBox="1"/>
      </xdr:nvSpPr>
      <xdr:spPr>
        <a:xfrm>
          <a:off x="2276392" y="6972031"/>
          <a:ext cx="1809696" cy="38652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accent1"/>
              </a:solidFill>
            </a:rPr>
            <a:t>NINTENDO SWITCH</a:t>
          </a:r>
        </a:p>
      </xdr:txBody>
    </xdr:sp>
    <xdr:clientData/>
  </xdr:twoCellAnchor>
  <xdr:twoCellAnchor>
    <xdr:from>
      <xdr:col>2</xdr:col>
      <xdr:colOff>757914</xdr:colOff>
      <xdr:row>38</xdr:row>
      <xdr:rowOff>179458</xdr:rowOff>
    </xdr:from>
    <xdr:to>
      <xdr:col>5</xdr:col>
      <xdr:colOff>552174</xdr:colOff>
      <xdr:row>41</xdr:row>
      <xdr:rowOff>182233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3AD8552E-87E6-4646-AFD8-E19E95D8387F}"/>
            </a:ext>
          </a:extLst>
        </xdr:cNvPr>
        <xdr:cNvSpPr txBox="1"/>
      </xdr:nvSpPr>
      <xdr:spPr>
        <a:xfrm>
          <a:off x="2276392" y="7523371"/>
          <a:ext cx="2071978" cy="58255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accent1"/>
              </a:solidFill>
            </a:rPr>
            <a:t>Réfrigérateur WHIRLPOOL</a:t>
          </a:r>
        </a:p>
      </xdr:txBody>
    </xdr:sp>
    <xdr:clientData/>
  </xdr:twoCellAnchor>
  <xdr:twoCellAnchor>
    <xdr:from>
      <xdr:col>5</xdr:col>
      <xdr:colOff>151847</xdr:colOff>
      <xdr:row>32</xdr:row>
      <xdr:rowOff>179456</xdr:rowOff>
    </xdr:from>
    <xdr:to>
      <xdr:col>7</xdr:col>
      <xdr:colOff>717826</xdr:colOff>
      <xdr:row>35</xdr:row>
      <xdr:rowOff>13804</xdr:rowOff>
    </xdr:to>
    <xdr:sp macro="" textlink="traitement!F103">
      <xdr:nvSpPr>
        <xdr:cNvPr id="15" name="Rectangle : coins arrondis 14">
          <a:extLst>
            <a:ext uri="{FF2B5EF4-FFF2-40B4-BE49-F238E27FC236}">
              <a16:creationId xmlns:a16="http://schemas.microsoft.com/office/drawing/2014/main" id="{08F2C556-836D-6ED2-4DF7-BBD08CA9B7CE}"/>
            </a:ext>
          </a:extLst>
        </xdr:cNvPr>
        <xdr:cNvSpPr/>
      </xdr:nvSpPr>
      <xdr:spPr>
        <a:xfrm>
          <a:off x="3948043" y="6363804"/>
          <a:ext cx="2084457" cy="41413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BCEF794-04F2-4D6E-9FE5-817BE3DD6315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algn="l"/>
            <a:t>Non disponible</a:t>
          </a:fld>
          <a:endParaRPr lang="fr-FR" sz="1400">
            <a:solidFill>
              <a:schemeClr val="accent4">
                <a:lumMod val="75000"/>
              </a:schemeClr>
            </a:solidFill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5</xdr:col>
      <xdr:colOff>151847</xdr:colOff>
      <xdr:row>36</xdr:row>
      <xdr:rowOff>28161</xdr:rowOff>
    </xdr:from>
    <xdr:to>
      <xdr:col>7</xdr:col>
      <xdr:colOff>717826</xdr:colOff>
      <xdr:row>38</xdr:row>
      <xdr:rowOff>55769</xdr:rowOff>
    </xdr:to>
    <xdr:sp macro="" textlink="traitement!F104">
      <xdr:nvSpPr>
        <xdr:cNvPr id="17" name="Rectangle : coins arrondis 16">
          <a:extLst>
            <a:ext uri="{FF2B5EF4-FFF2-40B4-BE49-F238E27FC236}">
              <a16:creationId xmlns:a16="http://schemas.microsoft.com/office/drawing/2014/main" id="{B4DC56BD-2421-4E91-BFC7-CF1EE1ABD751}"/>
            </a:ext>
          </a:extLst>
        </xdr:cNvPr>
        <xdr:cNvSpPr/>
      </xdr:nvSpPr>
      <xdr:spPr>
        <a:xfrm>
          <a:off x="3948043" y="6985552"/>
          <a:ext cx="2084457" cy="41413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4E9223E-2542-4CE2-96D5-936DD1856EFC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algn="l"/>
            <a:t>Stock faible</a:t>
          </a:fld>
          <a:endParaRPr lang="fr-FR" sz="1400">
            <a:solidFill>
              <a:schemeClr val="accent4">
                <a:lumMod val="75000"/>
              </a:schemeClr>
            </a:solidFill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5</xdr:col>
      <xdr:colOff>151847</xdr:colOff>
      <xdr:row>39</xdr:row>
      <xdr:rowOff>70126</xdr:rowOff>
    </xdr:from>
    <xdr:to>
      <xdr:col>7</xdr:col>
      <xdr:colOff>717826</xdr:colOff>
      <xdr:row>41</xdr:row>
      <xdr:rowOff>97734</xdr:rowOff>
    </xdr:to>
    <xdr:sp macro="" textlink="traitement!F105">
      <xdr:nvSpPr>
        <xdr:cNvPr id="18" name="Rectangle : coins arrondis 17">
          <a:extLst>
            <a:ext uri="{FF2B5EF4-FFF2-40B4-BE49-F238E27FC236}">
              <a16:creationId xmlns:a16="http://schemas.microsoft.com/office/drawing/2014/main" id="{FAC886EE-D9BE-4D95-99C9-33D7D8E3CCC1}"/>
            </a:ext>
          </a:extLst>
        </xdr:cNvPr>
        <xdr:cNvSpPr/>
      </xdr:nvSpPr>
      <xdr:spPr>
        <a:xfrm>
          <a:off x="3948043" y="7607300"/>
          <a:ext cx="2084457" cy="41413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35CCD62-EA18-4AD6-ADE3-09D5073186DC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pPr algn="l"/>
            <a:t>Stock faible</a:t>
          </a:fld>
          <a:endParaRPr lang="fr-FR" sz="1400">
            <a:solidFill>
              <a:schemeClr val="accent4">
                <a:lumMod val="75000"/>
              </a:schemeClr>
            </a:solidFill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3</xdr:col>
      <xdr:colOff>18829</xdr:colOff>
      <xdr:row>29</xdr:row>
      <xdr:rowOff>181127</xdr:rowOff>
    </xdr:from>
    <xdr:to>
      <xdr:col>7</xdr:col>
      <xdr:colOff>469348</xdr:colOff>
      <xdr:row>31</xdr:row>
      <xdr:rowOff>181128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3620CD8F-40EF-437F-ADDE-5A75ADDB60FD}"/>
            </a:ext>
          </a:extLst>
        </xdr:cNvPr>
        <xdr:cNvSpPr txBox="1"/>
      </xdr:nvSpPr>
      <xdr:spPr>
        <a:xfrm>
          <a:off x="2296546" y="5785692"/>
          <a:ext cx="3487476" cy="38652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>
              <a:solidFill>
                <a:sysClr val="windowText" lastClr="000000"/>
              </a:solidFill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Marchandises</a:t>
          </a:r>
          <a:r>
            <a:rPr lang="fr-FR" sz="1600" b="1" baseline="0">
              <a:solidFill>
                <a:sysClr val="windowText" lastClr="000000"/>
              </a:solidFill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 a </a:t>
          </a:r>
          <a:r>
            <a:rPr lang="fr-FR" sz="1800" b="1" baseline="0">
              <a:solidFill>
                <a:sysClr val="windowText" lastClr="000000"/>
              </a:solidFill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approvisonner</a:t>
          </a:r>
          <a:endParaRPr lang="fr-FR" sz="1600" b="1">
            <a:solidFill>
              <a:sysClr val="windowText" lastClr="000000"/>
            </a:solidFill>
            <a:latin typeface="Abadi" panose="020B0604020104020204" pitchFamily="34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 editAs="oneCell">
    <xdr:from>
      <xdr:col>0</xdr:col>
      <xdr:colOff>146326</xdr:colOff>
      <xdr:row>19</xdr:row>
      <xdr:rowOff>69404</xdr:rowOff>
    </xdr:from>
    <xdr:to>
      <xdr:col>2</xdr:col>
      <xdr:colOff>414132</xdr:colOff>
      <xdr:row>27</xdr:row>
      <xdr:rowOff>41412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Categories 1">
              <a:extLst>
                <a:ext uri="{FF2B5EF4-FFF2-40B4-BE49-F238E27FC236}">
                  <a16:creationId xmlns:a16="http://schemas.microsoft.com/office/drawing/2014/main" id="{51F43602-63AE-4A43-900B-EC986730F2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326" y="3962230"/>
              <a:ext cx="1786284" cy="15180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124240</xdr:colOff>
      <xdr:row>28</xdr:row>
      <xdr:rowOff>124240</xdr:rowOff>
    </xdr:from>
    <xdr:to>
      <xdr:col>2</xdr:col>
      <xdr:colOff>434562</xdr:colOff>
      <xdr:row>36</xdr:row>
      <xdr:rowOff>115040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Références 1">
              <a:extLst>
                <a:ext uri="{FF2B5EF4-FFF2-40B4-BE49-F238E27FC236}">
                  <a16:creationId xmlns:a16="http://schemas.microsoft.com/office/drawing/2014/main" id="{8235C4B5-FF92-4C60-A6A9-EA2F15E3C6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férenc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240" y="5756414"/>
              <a:ext cx="1828800" cy="153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193260</xdr:colOff>
      <xdr:row>10</xdr:row>
      <xdr:rowOff>138043</xdr:rowOff>
    </xdr:from>
    <xdr:to>
      <xdr:col>2</xdr:col>
      <xdr:colOff>455542</xdr:colOff>
      <xdr:row>18</xdr:row>
      <xdr:rowOff>82825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Mois 1">
              <a:extLst>
                <a:ext uri="{FF2B5EF4-FFF2-40B4-BE49-F238E27FC236}">
                  <a16:creationId xmlns:a16="http://schemas.microsoft.com/office/drawing/2014/main" id="{BD0CED80-36F5-4282-B47E-D14A307AECA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260" y="2291521"/>
              <a:ext cx="1780760" cy="14908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3</xdr:col>
      <xdr:colOff>23171</xdr:colOff>
      <xdr:row>17</xdr:row>
      <xdr:rowOff>64575</xdr:rowOff>
    </xdr:from>
    <xdr:to>
      <xdr:col>8</xdr:col>
      <xdr:colOff>0</xdr:colOff>
      <xdr:row>29</xdr:row>
      <xdr:rowOff>55218</xdr:rowOff>
    </xdr:to>
    <xdr:graphicFrame macro="">
      <xdr:nvGraphicFramePr>
        <xdr:cNvPr id="32" name="Graphique 31">
          <a:extLst>
            <a:ext uri="{FF2B5EF4-FFF2-40B4-BE49-F238E27FC236}">
              <a16:creationId xmlns:a16="http://schemas.microsoft.com/office/drawing/2014/main" id="{79D74E46-0150-4062-9308-E4C0D543D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276087</xdr:colOff>
      <xdr:row>17</xdr:row>
      <xdr:rowOff>151848</xdr:rowOff>
    </xdr:from>
    <xdr:to>
      <xdr:col>7</xdr:col>
      <xdr:colOff>331304</xdr:colOff>
      <xdr:row>19</xdr:row>
      <xdr:rowOff>82826</xdr:rowOff>
    </xdr:to>
    <xdr:sp macro="" textlink="">
      <xdr:nvSpPr>
        <xdr:cNvPr id="44" name="Rectangle : coins arrondis 43">
          <a:extLst>
            <a:ext uri="{FF2B5EF4-FFF2-40B4-BE49-F238E27FC236}">
              <a16:creationId xmlns:a16="http://schemas.microsoft.com/office/drawing/2014/main" id="{EA400FF5-A790-BB7E-444D-CCCDC2E2B4A5}"/>
            </a:ext>
          </a:extLst>
        </xdr:cNvPr>
        <xdr:cNvSpPr/>
      </xdr:nvSpPr>
      <xdr:spPr>
        <a:xfrm>
          <a:off x="2553804" y="3437283"/>
          <a:ext cx="3092174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800" b="1"/>
            <a:t>Top 3 marchandises</a:t>
          </a:r>
        </a:p>
      </xdr:txBody>
    </xdr:sp>
    <xdr:clientData/>
  </xdr:twoCellAnchor>
  <xdr:twoCellAnchor>
    <xdr:from>
      <xdr:col>14</xdr:col>
      <xdr:colOff>155443</xdr:colOff>
      <xdr:row>31</xdr:row>
      <xdr:rowOff>110436</xdr:rowOff>
    </xdr:from>
    <xdr:to>
      <xdr:col>20</xdr:col>
      <xdr:colOff>172008</xdr:colOff>
      <xdr:row>40</xdr:row>
      <xdr:rowOff>138044</xdr:rowOff>
    </xdr:to>
    <xdr:graphicFrame macro="">
      <xdr:nvGraphicFramePr>
        <xdr:cNvPr id="46" name="Graphique 45">
          <a:extLst>
            <a:ext uri="{FF2B5EF4-FFF2-40B4-BE49-F238E27FC236}">
              <a16:creationId xmlns:a16="http://schemas.microsoft.com/office/drawing/2014/main" id="{B4BC4E19-9799-4F2F-A4F9-5BD27E131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717826</xdr:colOff>
      <xdr:row>5</xdr:row>
      <xdr:rowOff>138044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6F9C8737-B3DC-473E-8C94-48D66D3D08C6}"/>
            </a:ext>
          </a:extLst>
        </xdr:cNvPr>
        <xdr:cNvSpPr txBox="1"/>
      </xdr:nvSpPr>
      <xdr:spPr>
        <a:xfrm>
          <a:off x="0" y="0"/>
          <a:ext cx="2236304" cy="132521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000" b="1" u="sng">
              <a:solidFill>
                <a:schemeClr val="accent1"/>
              </a:solidFill>
            </a:rPr>
            <a:t>TABLEAU DE BORD</a:t>
          </a:r>
        </a:p>
        <a:p>
          <a:pPr algn="ctr"/>
          <a:r>
            <a:rPr lang="fr-FR" sz="1800" b="1">
              <a:solidFill>
                <a:schemeClr val="tx1"/>
              </a:solidFill>
            </a:rPr>
            <a:t>Gestion de stock </a:t>
          </a:r>
          <a:endParaRPr lang="fr-FR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83475</xdr:colOff>
      <xdr:row>1</xdr:row>
      <xdr:rowOff>13805</xdr:rowOff>
    </xdr:from>
    <xdr:to>
      <xdr:col>5</xdr:col>
      <xdr:colOff>396886</xdr:colOff>
      <xdr:row>2</xdr:row>
      <xdr:rowOff>64121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DEFF7A1-5628-4FBC-BFC8-98E2D01834C5}"/>
            </a:ext>
          </a:extLst>
        </xdr:cNvPr>
        <xdr:cNvSpPr txBox="1"/>
      </xdr:nvSpPr>
      <xdr:spPr>
        <a:xfrm>
          <a:off x="2361192" y="427935"/>
          <a:ext cx="1831890" cy="24357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STOCK TOTAL</a:t>
          </a:r>
          <a:endParaRPr lang="fr-FR" sz="1400" b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0</xdr:col>
      <xdr:colOff>386522</xdr:colOff>
      <xdr:row>3</xdr:row>
      <xdr:rowOff>82827</xdr:rowOff>
    </xdr:from>
    <xdr:to>
      <xdr:col>2</xdr:col>
      <xdr:colOff>345110</xdr:colOff>
      <xdr:row>5</xdr:row>
      <xdr:rowOff>82828</xdr:rowOff>
    </xdr:to>
    <xdr:sp macro="[0]!versoperation" textlink="">
      <xdr:nvSpPr>
        <xdr:cNvPr id="51" name="ZoneTexte 50">
          <a:extLst>
            <a:ext uri="{FF2B5EF4-FFF2-40B4-BE49-F238E27FC236}">
              <a16:creationId xmlns:a16="http://schemas.microsoft.com/office/drawing/2014/main" id="{550B9CA1-4268-4134-9F16-2F25F92E3C91}"/>
            </a:ext>
          </a:extLst>
        </xdr:cNvPr>
        <xdr:cNvSpPr txBox="1"/>
      </xdr:nvSpPr>
      <xdr:spPr>
        <a:xfrm>
          <a:off x="386522" y="883479"/>
          <a:ext cx="1477066" cy="38652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 b="1">
              <a:solidFill>
                <a:schemeClr val="accent1"/>
              </a:solidFill>
            </a:rPr>
            <a:t> - </a:t>
          </a:r>
          <a:r>
            <a:rPr lang="fr-FR" sz="1800" b="1">
              <a:solidFill>
                <a:schemeClr val="tx1"/>
              </a:solidFill>
            </a:rPr>
            <a:t>Operations</a:t>
          </a:r>
        </a:p>
      </xdr:txBody>
    </xdr:sp>
    <xdr:clientData/>
  </xdr:twoCellAnchor>
  <xdr:twoCellAnchor>
    <xdr:from>
      <xdr:col>0</xdr:col>
      <xdr:colOff>386521</xdr:colOff>
      <xdr:row>5</xdr:row>
      <xdr:rowOff>138043</xdr:rowOff>
    </xdr:from>
    <xdr:to>
      <xdr:col>2</xdr:col>
      <xdr:colOff>345109</xdr:colOff>
      <xdr:row>7</xdr:row>
      <xdr:rowOff>138044</xdr:rowOff>
    </xdr:to>
    <xdr:sp macro="[0]!versinventaire" textlink="">
      <xdr:nvSpPr>
        <xdr:cNvPr id="52" name="ZoneTexte 51">
          <a:extLst>
            <a:ext uri="{FF2B5EF4-FFF2-40B4-BE49-F238E27FC236}">
              <a16:creationId xmlns:a16="http://schemas.microsoft.com/office/drawing/2014/main" id="{36CAD5EB-F899-452E-893F-92CD9C774F4D}"/>
            </a:ext>
          </a:extLst>
        </xdr:cNvPr>
        <xdr:cNvSpPr txBox="1"/>
      </xdr:nvSpPr>
      <xdr:spPr>
        <a:xfrm>
          <a:off x="386521" y="1325217"/>
          <a:ext cx="1477066" cy="38652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 b="1">
              <a:solidFill>
                <a:schemeClr val="tx1"/>
              </a:solidFill>
            </a:rPr>
            <a:t>- Inventaire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0.05412</cdr:y>
    </cdr:from>
    <cdr:to>
      <cdr:x>0.61173</cdr:x>
      <cdr:y>0.22642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3D19AF30-478E-0245-3F22-69AC5FDD3CD3}"/>
            </a:ext>
          </a:extLst>
        </cdr:cNvPr>
        <cdr:cNvSpPr txBox="1"/>
      </cdr:nvSpPr>
      <cdr:spPr>
        <a:xfrm xmlns:a="http://schemas.openxmlformats.org/drawingml/2006/main">
          <a:off x="0" y="121368"/>
          <a:ext cx="2606562" cy="3863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800" b="1" kern="1200">
              <a:solidFill>
                <a:schemeClr val="accent1"/>
              </a:solidFill>
            </a:rPr>
            <a:t>Total des sorties par mois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448235</xdr:colOff>
      <xdr:row>4</xdr:row>
      <xdr:rowOff>1</xdr:rowOff>
    </xdr:from>
    <xdr:to>
      <xdr:col>13</xdr:col>
      <xdr:colOff>753035</xdr:colOff>
      <xdr:row>13</xdr:row>
      <xdr:rowOff>22413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tegories">
              <a:extLst>
                <a:ext uri="{FF2B5EF4-FFF2-40B4-BE49-F238E27FC236}">
                  <a16:creationId xmlns:a16="http://schemas.microsoft.com/office/drawing/2014/main" id="{6EB097ED-6B1A-0A94-759A-FF63202A8AD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19647" y="762001"/>
              <a:ext cx="1828800" cy="17369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5</xdr:row>
      <xdr:rowOff>0</xdr:rowOff>
    </xdr:from>
    <xdr:to>
      <xdr:col>6</xdr:col>
      <xdr:colOff>542925</xdr:colOff>
      <xdr:row>15</xdr:row>
      <xdr:rowOff>166687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0DD2EC9-B708-6BD5-3253-9CD8CB677A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373456</xdr:colOff>
      <xdr:row>12</xdr:row>
      <xdr:rowOff>122600</xdr:rowOff>
    </xdr:from>
    <xdr:to>
      <xdr:col>6</xdr:col>
      <xdr:colOff>0</xdr:colOff>
      <xdr:row>24</xdr:row>
      <xdr:rowOff>27726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62AAF6F-38F3-668A-20F3-397C8D6A5D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170319</xdr:rowOff>
    </xdr:from>
    <xdr:to>
      <xdr:col>10</xdr:col>
      <xdr:colOff>0</xdr:colOff>
      <xdr:row>32</xdr:row>
      <xdr:rowOff>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3E5E52B3-48C2-63DE-84FC-E6720F6A15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24</xdr:row>
      <xdr:rowOff>50046</xdr:rowOff>
    </xdr:from>
    <xdr:to>
      <xdr:col>6</xdr:col>
      <xdr:colOff>12370</xdr:colOff>
      <xdr:row>35</xdr:row>
      <xdr:rowOff>49481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A5C54C7-289E-6FAC-C4DE-F8AE9C835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373455</xdr:colOff>
      <xdr:row>37</xdr:row>
      <xdr:rowOff>0</xdr:rowOff>
    </xdr:from>
    <xdr:to>
      <xdr:col>5</xdr:col>
      <xdr:colOff>1320296</xdr:colOff>
      <xdr:row>46</xdr:row>
      <xdr:rowOff>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E95300C-A265-A287-EA04-20402B71CE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579274</xdr:colOff>
      <xdr:row>33</xdr:row>
      <xdr:rowOff>98961</xdr:rowOff>
    </xdr:from>
    <xdr:to>
      <xdr:col>13</xdr:col>
      <xdr:colOff>0</xdr:colOff>
      <xdr:row>43</xdr:row>
      <xdr:rowOff>133054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FD9DB3C1-1C10-69C1-62CD-4057F01EF9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46</xdr:row>
      <xdr:rowOff>117231</xdr:rowOff>
    </xdr:from>
    <xdr:to>
      <xdr:col>13</xdr:col>
      <xdr:colOff>506004</xdr:colOff>
      <xdr:row>60</xdr:row>
      <xdr:rowOff>117231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9E2DCEF1-6A5F-7D99-B87C-6B0266BB22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553915</xdr:colOff>
      <xdr:row>60</xdr:row>
      <xdr:rowOff>117231</xdr:rowOff>
    </xdr:from>
    <xdr:to>
      <xdr:col>14</xdr:col>
      <xdr:colOff>553915</xdr:colOff>
      <xdr:row>75</xdr:row>
      <xdr:rowOff>2931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BFD3D2ED-C391-4F86-E4EA-B52BB74225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78</xdr:row>
      <xdr:rowOff>0</xdr:rowOff>
    </xdr:from>
    <xdr:to>
      <xdr:col>11</xdr:col>
      <xdr:colOff>0</xdr:colOff>
      <xdr:row>90</xdr:row>
      <xdr:rowOff>96715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B5FB8E8B-88DB-E755-E2C1-6FF4C1651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718771</xdr:colOff>
      <xdr:row>76</xdr:row>
      <xdr:rowOff>49823</xdr:rowOff>
    </xdr:from>
    <xdr:to>
      <xdr:col>17</xdr:col>
      <xdr:colOff>718771</xdr:colOff>
      <xdr:row>86</xdr:row>
      <xdr:rowOff>67235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425BD2DD-9CEF-9216-4C39-60DF7277A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465044</xdr:colOff>
      <xdr:row>88</xdr:row>
      <xdr:rowOff>44824</xdr:rowOff>
    </xdr:from>
    <xdr:to>
      <xdr:col>8</xdr:col>
      <xdr:colOff>644338</xdr:colOff>
      <xdr:row>98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DA42767-401A-237F-306E-6714FAE209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1153086</xdr:colOff>
      <xdr:row>1</xdr:row>
      <xdr:rowOff>87966</xdr:rowOff>
    </xdr:from>
    <xdr:to>
      <xdr:col>4</xdr:col>
      <xdr:colOff>192742</xdr:colOff>
      <xdr:row>9</xdr:row>
      <xdr:rowOff>100853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Références">
              <a:extLst>
                <a:ext uri="{FF2B5EF4-FFF2-40B4-BE49-F238E27FC236}">
                  <a16:creationId xmlns:a16="http://schemas.microsoft.com/office/drawing/2014/main" id="{1F8067C7-53AD-80C7-7AFC-401F94CB361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férenc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18648" y="278466"/>
              <a:ext cx="1828800" cy="153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402292</xdr:colOff>
      <xdr:row>6</xdr:row>
      <xdr:rowOff>132791</xdr:rowOff>
    </xdr:from>
    <xdr:to>
      <xdr:col>9</xdr:col>
      <xdr:colOff>22412</xdr:colOff>
      <xdr:row>16</xdr:row>
      <xdr:rowOff>33619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ois">
              <a:extLst>
                <a:ext uri="{FF2B5EF4-FFF2-40B4-BE49-F238E27FC236}">
                  <a16:creationId xmlns:a16="http://schemas.microsoft.com/office/drawing/2014/main" id="{7FAE0DA6-DCA9-7FD2-F975-B2A30B1652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25704" y="1275791"/>
              <a:ext cx="1144120" cy="18058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eikh saliou sylla" refreshedDate="46204.520806597226" createdVersion="8" refreshedVersion="8" minRefreshableVersion="3" recordCount="11" xr:uid="{7CE3F11C-DC8F-46C1-9F10-C9DFF1879136}">
  <cacheSource type="worksheet">
    <worksheetSource name="listeInventaire"/>
  </cacheSource>
  <cacheFields count="12">
    <cacheField name="Référence" numFmtId="0">
      <sharedItems/>
    </cacheField>
    <cacheField name="Désignation" numFmtId="0">
      <sharedItems count="9">
        <s v="GOOGLE PIXEL 5"/>
        <s v="IPHONE 13 PRO"/>
        <s v="Oreo"/>
        <s v="Réfrigérateur WHIRLPOOL"/>
        <s v="Réfrigérateur SIERA"/>
        <s v="Cuisinière SIERA"/>
        <s v="Cuisinière CANDY"/>
        <s v="PLAYSTATION PS5 "/>
        <s v="NINTENDO SWITCH"/>
      </sharedItems>
    </cacheField>
    <cacheField name="Catégorie" numFmtId="0">
      <sharedItems count="4">
        <s v="SmartPhone"/>
        <s v="Biscuits "/>
        <s v="Electro"/>
        <s v="Consoles"/>
      </sharedItems>
    </cacheField>
    <cacheField name="Unité" numFmtId="0">
      <sharedItems/>
    </cacheField>
    <cacheField name="Seuil d'alerte" numFmtId="0">
      <sharedItems containsSemiMixedTypes="0" containsString="0" containsNumber="1" containsInteger="1" minValue="10" maxValue="50"/>
    </cacheField>
    <cacheField name="Stock initial" numFmtId="0">
      <sharedItems containsSemiMixedTypes="0" containsString="0" containsNumber="1" containsInteger="1" minValue="0" maxValue="20"/>
    </cacheField>
    <cacheField name="Entrées" numFmtId="0">
      <sharedItems containsSemiMixedTypes="0" containsString="0" containsNumber="1" containsInteger="1" minValue="24" maxValue="320"/>
    </cacheField>
    <cacheField name="Sorties" numFmtId="0">
      <sharedItems containsSemiMixedTypes="0" containsString="0" containsNumber="1" containsInteger="1" minValue="21" maxValue="195"/>
    </cacheField>
    <cacheField name="Stock final" numFmtId="0">
      <sharedItems containsSemiMixedTypes="0" containsString="0" containsNumber="1" containsInteger="1" minValue="0" maxValue="130"/>
    </cacheField>
    <cacheField name="CUMP" numFmtId="164">
      <sharedItems containsSemiMixedTypes="0" containsString="0" containsNumber="1" minValue="0.20904761904761907" maxValue="1400"/>
    </cacheField>
    <cacheField name="Valeur" numFmtId="164">
      <sharedItems containsSemiMixedTypes="0" containsString="0" containsNumber="1" minValue="0" maxValue="16800" count="11">
        <n v="8992"/>
        <n v="16800"/>
        <n v="5.4352380952380956"/>
        <n v="196"/>
        <n v="520"/>
        <n v="5600"/>
        <n v="5700"/>
        <n v="6450"/>
        <n v="0"/>
        <n v="9774.5283018867922"/>
        <n v="814.13043478260875"/>
      </sharedItems>
    </cacheField>
    <cacheField name="Statue" numFmtId="0">
      <sharedItems count="3">
        <s v="Stock normal"/>
        <s v="Stock faible"/>
        <s v="Non disponibl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49652775" backgroundQuery="1" createdVersion="8" refreshedVersion="8" minRefreshableVersion="3" recordCount="0" supportSubquery="1" supportAdvancedDrill="1" xr:uid="{DD530E9D-03D2-4CC3-93AB-68CA4235DA5B}">
  <cacheSource type="external" connectionId="1"/>
  <cacheFields count="5">
    <cacheField name="[listeVentes].[Date].[Date]" caption="Date" numFmtId="0" hierarchy="15" level="1">
      <sharedItems containsSemiMixedTypes="0" containsNonDate="0" containsDate="1" containsString="0" minDate="2022-01-01T00:00:00" maxDate="2022-05-23T00:00:00" count="37">
        <d v="2022-01-01T00:00:00"/>
        <d v="2022-01-02T00:00:00"/>
        <d v="2022-01-06T00:00:00"/>
        <d v="2022-01-10T00:00:00"/>
        <d v="2022-01-17T00:00:00"/>
        <d v="2022-01-21T00:00:00"/>
        <d v="2022-01-23T00:00:00"/>
        <d v="2022-01-26T00:00:00"/>
        <d v="2022-02-02T00:00:00"/>
        <d v="2022-02-03T00:00:00"/>
        <d v="2022-02-05T00:00:00"/>
        <d v="2022-02-06T00:00:00"/>
        <d v="2022-02-09T00:00:00"/>
        <d v="2022-02-20T00:00:00"/>
        <d v="2022-02-22T00:00:00"/>
        <d v="2022-03-03T00:00:00"/>
        <d v="2022-03-04T00:00:00"/>
        <d v="2022-03-05T00:00:00"/>
        <d v="2022-03-06T00:00:00"/>
        <d v="2022-03-09T00:00:00"/>
        <d v="2022-03-26T00:00:00"/>
        <d v="2022-04-01T00:00:00"/>
        <d v="2022-04-04T00:00:00"/>
        <d v="2022-04-05T00:00:00"/>
        <d v="2022-04-09T00:00:00"/>
        <d v="2022-04-11T00:00:00"/>
        <d v="2022-04-19T00:00:00"/>
        <d v="2022-04-21T00:00:00"/>
        <d v="2022-04-22T00:00:00"/>
        <d v="2022-05-03T00:00:00"/>
        <d v="2022-05-04T00:00:00"/>
        <d v="2022-05-05T00:00:00"/>
        <d v="2022-05-06T00:00:00"/>
        <d v="2022-05-08T00:00:00"/>
        <d v="2022-05-15T00:00:00"/>
        <d v="2022-05-17T00:00:00"/>
        <d v="2022-05-22T00:00:00"/>
      </sharedItems>
    </cacheField>
    <cacheField name="[listeVentes].[Date (mois)].[Date (mois)]" caption="Date (mois)" numFmtId="0" hierarchy="23" level="1">
      <sharedItems count="5">
        <s v="janv"/>
        <s v="févr"/>
        <s v="mars"/>
        <s v="avr"/>
        <s v="mai"/>
      </sharedItems>
    </cacheField>
    <cacheField name="[Measures].[Somme de Quantité 2]" caption="Somme de Quantité 2" numFmtId="0" hierarchy="38" level="32767"/>
    <cacheField name="[Categorie].[Categories].[Categories]" caption="Categories" numFmtId="0" level="1">
      <sharedItems containsSemiMixedTypes="0" containsNonDate="0" containsString="0"/>
    </cacheField>
    <cacheField name="Unsupported0" numFmtId="0" hierarchy="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40">
    <cacheHierarchy uniqueName="[Categorie].[Categories]" caption="Categories" attribute="1" defaultMemberUniqueName="[Categorie].[Categories].[All]" allUniqueName="[Categorie].[Categories].[All]" dimensionUniqueName="[Categorie]" displayFolder="" count="2" memberValueDatatype="130" unbalanced="0">
      <fieldsUsage count="2">
        <fieldUsage x="-1"/>
        <fieldUsage x="3"/>
      </fieldsUsage>
    </cacheHierarchy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>
      <fieldsUsage count="2">
        <fieldUsage x="-1"/>
        <fieldUsage x="0"/>
      </fieldsUsage>
    </cacheHierarchy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>
      <fieldsUsage count="2">
        <fieldUsage x="-1"/>
        <fieldUsage x="1"/>
      </fieldsUsage>
    </cacheHierarchy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Unsupported0" caption="Categorie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4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50347222" backgroundQuery="1" createdVersion="8" refreshedVersion="8" minRefreshableVersion="3" recordCount="0" supportSubquery="1" supportAdvancedDrill="1" xr:uid="{B77A1CC4-D494-4660-B040-36A9FC83E32B}">
  <cacheSource type="external" connectionId="1"/>
  <cacheFields count="3">
    <cacheField name="[listeAchats].[Catégorie].[Catégorie]" caption="Catégorie" numFmtId="0" hierarchy="8" level="1">
      <sharedItems count="4">
        <s v="Biscuits"/>
        <s v="Consoles"/>
        <s v="Electro"/>
        <s v="SmartPhone"/>
      </sharedItems>
    </cacheField>
    <cacheField name="[Measures].[Somme de Quantité]" caption="Somme de Quantité" numFmtId="0" hierarchy="35" level="32767"/>
    <cacheField name="[Categorie].[Categories].[Categories]" caption="Categories" numFmtId="0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2" memberValueDatatype="130" unbalanced="0">
      <fieldsUsage count="2">
        <fieldUsage x="-1"/>
        <fieldUsage x="2"/>
      </fieldsUsage>
    </cacheHierarchy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>
      <fieldsUsage count="2">
        <fieldUsage x="-1"/>
        <fieldUsage x="0"/>
      </fieldsUsage>
    </cacheHierarchy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5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4" dimension="7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51620369" backgroundQuery="1" createdVersion="8" refreshedVersion="8" minRefreshableVersion="3" recordCount="0" supportSubquery="1" supportAdvancedDrill="1" xr:uid="{5E04512E-0818-41A9-BFB0-11803D5B7B69}">
  <cacheSource type="external" connectionId="1"/>
  <cacheFields count="5">
    <cacheField name="[listeVentes].[Date].[Date]" caption="Date" numFmtId="0" hierarchy="15" level="1">
      <sharedItems containsSemiMixedTypes="0" containsNonDate="0" containsDate="1" containsString="0" minDate="2022-01-01T00:00:00" maxDate="2022-05-23T00:00:00" count="37">
        <d v="2022-01-01T00:00:00"/>
        <d v="2022-01-02T00:00:00"/>
        <d v="2022-01-06T00:00:00"/>
        <d v="2022-01-10T00:00:00"/>
        <d v="2022-01-17T00:00:00"/>
        <d v="2022-01-21T00:00:00"/>
        <d v="2022-01-23T00:00:00"/>
        <d v="2022-01-26T00:00:00"/>
        <d v="2022-02-02T00:00:00"/>
        <d v="2022-02-03T00:00:00"/>
        <d v="2022-02-05T00:00:00"/>
        <d v="2022-02-06T00:00:00"/>
        <d v="2022-02-09T00:00:00"/>
        <d v="2022-02-20T00:00:00"/>
        <d v="2022-02-22T00:00:00"/>
        <d v="2022-03-03T00:00:00"/>
        <d v="2022-03-04T00:00:00"/>
        <d v="2022-03-05T00:00:00"/>
        <d v="2022-03-06T00:00:00"/>
        <d v="2022-03-09T00:00:00"/>
        <d v="2022-03-26T00:00:00"/>
        <d v="2022-04-01T00:00:00"/>
        <d v="2022-04-04T00:00:00"/>
        <d v="2022-04-05T00:00:00"/>
        <d v="2022-04-09T00:00:00"/>
        <d v="2022-04-11T00:00:00"/>
        <d v="2022-04-19T00:00:00"/>
        <d v="2022-04-21T00:00:00"/>
        <d v="2022-04-22T00:00:00"/>
        <d v="2022-05-03T00:00:00"/>
        <d v="2022-05-04T00:00:00"/>
        <d v="2022-05-05T00:00:00"/>
        <d v="2022-05-06T00:00:00"/>
        <d v="2022-05-08T00:00:00"/>
        <d v="2022-05-15T00:00:00"/>
        <d v="2022-05-17T00:00:00"/>
        <d v="2022-05-22T00:00:00"/>
      </sharedItems>
    </cacheField>
    <cacheField name="[listeVentes].[Date (mois)].[Date (mois)]" caption="Date (mois)" numFmtId="0" hierarchy="23" level="1">
      <sharedItems count="5">
        <s v="janv"/>
        <s v="févr"/>
        <s v="mars"/>
        <s v="avr"/>
        <s v="mai"/>
      </sharedItems>
    </cacheField>
    <cacheField name="[Measures].[Somme de Total 2]" caption="Somme de Total 2" numFmtId="0" hierarchy="37" level="32767"/>
    <cacheField name="[Categorie].[Categories].[Categories]" caption="Categories" numFmtId="0" level="1">
      <sharedItems containsSemiMixedTypes="0" containsNonDate="0" containsString="0"/>
    </cacheField>
    <cacheField name="Unsupported0" numFmtId="0" hierarchy="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40">
    <cacheHierarchy uniqueName="[Categorie].[Categories]" caption="Categories" attribute="1" defaultMemberUniqueName="[Categorie].[Categories].[All]" allUniqueName="[Categorie].[Categories].[All]" dimensionUniqueName="[Categorie]" displayFolder="" count="2" memberValueDatatype="130" unbalanced="0">
      <fieldsUsage count="2">
        <fieldUsage x="-1"/>
        <fieldUsage x="3"/>
      </fieldsUsage>
    </cacheHierarchy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>
      <fieldsUsage count="2">
        <fieldUsage x="-1"/>
        <fieldUsage x="0"/>
      </fieldsUsage>
    </cacheHierarchy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>
      <fieldsUsage count="2">
        <fieldUsage x="-1"/>
        <fieldUsage x="1"/>
      </fieldsUsage>
    </cacheHierarchy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Unsupported0" caption="Categorie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4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87384262" backgroundQuery="1" createdVersion="8" refreshedVersion="8" minRefreshableVersion="3" recordCount="0" supportSubquery="1" supportAdvancedDrill="1" xr:uid="{2A8BA1F6-1ED0-4C28-8CCA-E65223A75363}">
  <cacheSource type="external" connectionId="1"/>
  <cacheFields count="3">
    <cacheField name="[Measures].[Somme de Quantité]" caption="Somme de Quantité" numFmtId="0" hierarchy="35" level="32767"/>
    <cacheField name="[Measures].[Somme de Total]" caption="Somme de Total" numFmtId="0" hierarchy="36" level="32767"/>
    <cacheField name="[lesMois].[Mois].[Mois]" caption="Mois" numFmtId="0" hierarchy="2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2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2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2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2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2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2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2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2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2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2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2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2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2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2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2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/>
    <cacheHierarchy uniqueName="[mois].[Mois]" caption="Mois" attribute="1" defaultMemberUniqueName="[mois].[Mois].[All]" allUniqueName="[mois].[Mois].[All]" dimensionUniqueName="[mois]" displayFolder="" count="2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2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2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5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4" dimension="7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88078701" backgroundQuery="1" createdVersion="8" refreshedVersion="8" minRefreshableVersion="3" recordCount="0" supportSubquery="1" supportAdvancedDrill="1" xr:uid="{68D861A5-8D0D-48BB-819B-90592E162152}">
  <cacheSource type="external" connectionId="1"/>
  <cacheFields count="3">
    <cacheField name="[Measures].[Somme de Quantité 2]" caption="Somme de Quantité 2" numFmtId="0" hierarchy="38" level="32767"/>
    <cacheField name="[Measures].[Somme de Total 2]" caption="Somme de Total 2" numFmtId="0" hierarchy="37" level="32767"/>
    <cacheField name="[lesMois].[Mois].[Mois]" caption="Mois" numFmtId="0" hierarchy="2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2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5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4" dimension="7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88657409" backgroundQuery="1" createdVersion="8" refreshedVersion="8" minRefreshableVersion="3" recordCount="0" supportSubquery="1" supportAdvancedDrill="1" xr:uid="{9CC84E46-E288-477C-B4F2-5D0A871114D8}">
  <cacheSource type="external" connectionId="1"/>
  <cacheFields count="3">
    <cacheField name="[Measures].[Somme de Total 2]" caption="Somme de Total 2" numFmtId="0" hierarchy="37" level="32767"/>
    <cacheField name="[listeVentes].[Désignation].[Désignation]" caption="Désignation" numFmtId="0" hierarchy="17" level="1">
      <sharedItems count="3">
        <s v="Cuisinière CANDY"/>
        <s v="GOOGLE PIXEL 5"/>
        <s v="IPHONE 13 PRO"/>
      </sharedItems>
    </cacheField>
    <cacheField name="[lesMois].[Mois].[Mois]" caption="Mois" numFmtId="0" hierarchy="2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0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2" memberValueDatatype="130" unbalanced="0">
      <fieldsUsage count="2">
        <fieldUsage x="-1"/>
        <fieldUsage x="1"/>
      </fieldsUsage>
    </cacheHierarchy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4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89351855" backgroundQuery="1" createdVersion="8" refreshedVersion="8" minRefreshableVersion="3" recordCount="0" supportSubquery="1" supportAdvancedDrill="1" xr:uid="{EEB25E4C-D49E-4CB8-BA60-EB4148CE5FA2}">
  <cacheSource type="external" connectionId="1"/>
  <cacheFields count="3">
    <cacheField name="[listeAchats].[Catégorie].[Catégorie]" caption="Catégorie" numFmtId="0" hierarchy="8" level="1">
      <sharedItems count="4">
        <s v="Biscuits"/>
        <s v="Consoles"/>
        <s v="Electro"/>
        <s v="SmartPhone"/>
      </sharedItems>
    </cacheField>
    <cacheField name="[Measures].[Somme de Total]" caption="Somme de Total" numFmtId="0" hierarchy="36" level="32767"/>
    <cacheField name="[lesMois].[Mois].[Mois]" caption="Mois" numFmtId="0" hierarchy="2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0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>
      <fieldsUsage count="2">
        <fieldUsage x="-1"/>
        <fieldUsage x="0"/>
      </fieldsUsage>
    </cacheHierarchy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5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4" dimension="7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90046294" backgroundQuery="1" createdVersion="8" refreshedVersion="8" minRefreshableVersion="3" recordCount="0" supportSubquery="1" supportAdvancedDrill="1" xr:uid="{E974D30F-5DF2-4E58-A5EA-A6EA4248FE92}">
  <cacheSource type="external" connectionId="1"/>
  <cacheFields count="3">
    <cacheField name="[listeVentes].[Catégorie].[Catégorie]" caption="Catégorie" numFmtId="0" hierarchy="18" level="1">
      <sharedItems count="4">
        <s v="Biscuits"/>
        <s v="Consoles"/>
        <s v="Electro"/>
        <s v="SmartPhone"/>
      </sharedItems>
    </cacheField>
    <cacheField name="[Measures].[Somme de Quantité 2]" caption="Somme de Quantité 2" numFmtId="0" hierarchy="38" level="32767"/>
    <cacheField name="[lesMois].[Mois].[Mois]" caption="Mois" numFmtId="0" hierarchy="2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0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4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90509256" backgroundQuery="1" createdVersion="8" refreshedVersion="8" minRefreshableVersion="3" recordCount="0" supportSubquery="1" supportAdvancedDrill="1" xr:uid="{0D601646-8655-40C8-B990-B0D995468574}">
  <cacheSource type="external" connectionId="1"/>
  <cacheFields count="3">
    <cacheField name="[listeVentes].[Catégorie].[Catégorie]" caption="Catégorie" numFmtId="0" hierarchy="18" level="1">
      <sharedItems count="4">
        <s v="Biscuits"/>
        <s v="Consoles"/>
        <s v="Electro"/>
        <s v="SmartPhone"/>
      </sharedItems>
    </cacheField>
    <cacheField name="[Measures].[Somme de Total 2]" caption="Somme de Total 2" numFmtId="0" hierarchy="37" level="32767"/>
    <cacheField name="[lesMois].[Mois].[Mois]" caption="Mois" numFmtId="0" hierarchy="2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0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4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91203703" backgroundQuery="1" createdVersion="8" refreshedVersion="8" minRefreshableVersion="3" recordCount="0" supportSubquery="1" supportAdvancedDrill="1" xr:uid="{85BC1724-677D-42BF-8F41-96355F5AA134}">
  <cacheSource type="external" connectionId="1"/>
  <cacheFields count="4">
    <cacheField name="[listeAchats].[Date].[Date]" caption="Date" numFmtId="0" hierarchy="5" level="1">
      <sharedItems containsSemiMixedTypes="0" containsNonDate="0" containsDate="1" containsString="0" minDate="2022-01-01T00:00:00" maxDate="2022-05-23T00:00:00" count="34">
        <d v="2022-01-01T00:00:00"/>
        <d v="2022-01-02T00:00:00"/>
        <d v="2022-01-05T00:00:00"/>
        <d v="2022-01-16T00:00:00"/>
        <d v="2022-01-20T00:00:00"/>
        <d v="2022-01-22T00:00:00"/>
        <d v="2022-01-25T00:00:00"/>
        <d v="2022-02-01T00:00:00"/>
        <d v="2022-02-02T00:00:00"/>
        <d v="2022-02-03T00:00:00"/>
        <d v="2022-02-05T00:00:00"/>
        <d v="2022-02-10T00:00:00"/>
        <d v="2022-02-15T00:00:00"/>
        <d v="2022-02-25T00:00:00"/>
        <d v="2022-02-26T00:00:00"/>
        <d v="2022-03-02T00:00:00"/>
        <d v="2022-03-03T00:00:00"/>
        <d v="2022-03-05T00:00:00"/>
        <d v="2022-03-06T00:00:00"/>
        <d v="2022-03-20T00:00:00"/>
        <d v="2022-03-26T00:00:00"/>
        <d v="2022-04-03T00:00:00"/>
        <d v="2022-04-04T00:00:00"/>
        <d v="2022-04-05T00:00:00"/>
        <d v="2022-04-06T00:00:00"/>
        <d v="2022-04-25T00:00:00"/>
        <d v="2022-05-02T00:00:00"/>
        <d v="2022-05-04T00:00:00"/>
        <d v="2022-05-05T00:00:00"/>
        <d v="2022-05-06T00:00:00"/>
        <d v="2022-05-08T00:00:00"/>
        <d v="2022-05-09T00:00:00"/>
        <d v="2022-05-17T00:00:00"/>
        <d v="2022-05-22T00:00:00"/>
      </sharedItems>
    </cacheField>
    <cacheField name="[listeAchats].[Date (mois)].[Date (mois)]" caption="Date (mois)" numFmtId="0" hierarchy="13" level="1">
      <sharedItems count="5">
        <s v="janv"/>
        <s v="févr"/>
        <s v="mars"/>
        <s v="avr"/>
        <s v="mai"/>
      </sharedItems>
    </cacheField>
    <cacheField name="[Measures].[Somme de Quantité]" caption="Somme de Quantité" numFmtId="0" hierarchy="35" level="32767"/>
    <cacheField name="[lesMois].[Mois].[Mois]" caption="Mois" numFmtId="0" hierarchy="2" level="1">
      <sharedItems containsSemiMixedTypes="0" containsNonDate="0" containsString="0"/>
    </cacheField>
  </cacheFields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0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3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>
      <fieldsUsage count="2">
        <fieldUsage x="-1"/>
        <fieldUsage x="0"/>
      </fieldsUsage>
    </cacheHierarchy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>
      <fieldsUsage count="2">
        <fieldUsage x="-1"/>
        <fieldUsage x="1"/>
      </fieldsUsage>
    </cacheHierarchy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5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4" dimension="7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83191782411" backgroundQuery="1" createdVersion="8" refreshedVersion="8" minRefreshableVersion="3" recordCount="0" supportSubquery="1" supportAdvancedDrill="1" xr:uid="{940A094D-47D9-46D6-A2E5-4D1F1941433D}">
  <cacheSource type="external" connectionId="1"/>
  <cacheFields count="5">
    <cacheField name="[listeAchats].[Date].[Date]" caption="Date" numFmtId="0" hierarchy="5" level="1">
      <sharedItems containsSemiMixedTypes="0" containsNonDate="0" containsDate="1" containsString="0" minDate="2022-01-01T00:00:00" maxDate="2022-05-23T00:00:00" count="34">
        <d v="2022-01-01T00:00:00"/>
        <d v="2022-01-02T00:00:00"/>
        <d v="2022-01-05T00:00:00"/>
        <d v="2022-01-16T00:00:00"/>
        <d v="2022-01-20T00:00:00"/>
        <d v="2022-01-22T00:00:00"/>
        <d v="2022-01-25T00:00:00"/>
        <d v="2022-02-01T00:00:00"/>
        <d v="2022-02-02T00:00:00"/>
        <d v="2022-02-03T00:00:00"/>
        <d v="2022-02-05T00:00:00"/>
        <d v="2022-02-10T00:00:00"/>
        <d v="2022-02-15T00:00:00"/>
        <d v="2022-02-25T00:00:00"/>
        <d v="2022-02-26T00:00:00"/>
        <d v="2022-03-02T00:00:00"/>
        <d v="2022-03-03T00:00:00"/>
        <d v="2022-03-05T00:00:00"/>
        <d v="2022-03-06T00:00:00"/>
        <d v="2022-03-20T00:00:00"/>
        <d v="2022-03-26T00:00:00"/>
        <d v="2022-04-03T00:00:00"/>
        <d v="2022-04-04T00:00:00"/>
        <d v="2022-04-05T00:00:00"/>
        <d v="2022-04-06T00:00:00"/>
        <d v="2022-04-25T00:00:00"/>
        <d v="2022-05-02T00:00:00"/>
        <d v="2022-05-04T00:00:00"/>
        <d v="2022-05-05T00:00:00"/>
        <d v="2022-05-06T00:00:00"/>
        <d v="2022-05-08T00:00:00"/>
        <d v="2022-05-09T00:00:00"/>
        <d v="2022-05-17T00:00:00"/>
        <d v="2022-05-22T00:00:00"/>
      </sharedItems>
    </cacheField>
    <cacheField name="[listeAchats].[Date (mois)].[Date (mois)]" caption="Date (mois)" numFmtId="0" hierarchy="13" level="1">
      <sharedItems count="5">
        <s v="janv"/>
        <s v="févr"/>
        <s v="mars"/>
        <s v="avr"/>
        <s v="mai"/>
      </sharedItems>
    </cacheField>
    <cacheField name="[Measures].[Somme de Total]" caption="Somme de Total" numFmtId="0" hierarchy="36" level="32767"/>
    <cacheField name="[lesMois].[Mois].[Mois]" caption="Mois" numFmtId="0" hierarchy="2" level="1">
      <sharedItems containsSemiMixedTypes="0" containsNonDate="0" containsString="0"/>
    </cacheField>
    <cacheField name="Unsupported0" numFmtId="0" hierarchy="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40">
    <cacheHierarchy uniqueName="[Categorie].[Categories]" caption="Categories" attribute="1" defaultMemberUniqueName="[Categorie].[Categories].[All]" allUniqueName="[Categorie].[Categories].[All]" dimensionUniqueName="[Categorie]" displayFolder="" count="2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3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>
      <fieldsUsage count="2">
        <fieldUsage x="-1"/>
        <fieldUsage x="0"/>
      </fieldsUsage>
    </cacheHierarchy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>
      <fieldsUsage count="2">
        <fieldUsage x="-1"/>
        <fieldUsage x="1"/>
      </fieldsUsage>
    </cacheHierarchy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Unsupported0" caption="Categorie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8">
    <dimension name="Categorie" uniqueName="[Categorie]" caption="Categorie"/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  <dimension name="mois" uniqueName="[mois]" caption="mois"/>
  </dimensions>
  <measureGroups count="7">
    <measureGroup name="Categorie" caption="Categorie"/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  <measureGroup name="mois" caption="mois"/>
  </measureGroups>
  <maps count="15">
    <map measureGroup="0" dimension="0"/>
    <map measureGroup="1" dimension="1"/>
    <map measureGroup="2" dimension="2"/>
    <map measureGroup="3" dimension="3"/>
    <map measureGroup="4" dimension="1"/>
    <map measureGroup="4" dimension="2"/>
    <map measureGroup="4" dimension="3"/>
    <map measureGroup="4" dimension="4"/>
    <map measureGroup="4" dimension="7"/>
    <map measureGroup="5" dimension="0"/>
    <map measureGroup="5" dimension="1"/>
    <map measureGroup="5" dimension="2"/>
    <map measureGroup="5" dimension="3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ikh saliou sylla" refreshedDate="46249.525496180555" backgroundQuery="1" createdVersion="3" refreshedVersion="8" minRefreshableVersion="3" recordCount="0" supportSubquery="1" supportAdvancedDrill="1" xr:uid="{8336AC0D-31A4-4947-B40F-C5DF03428C2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9">
    <cacheHierarchy uniqueName="[Categorie].[Categories]" caption="Categories" attribute="1" defaultMemberUniqueName="[Categorie].[Categories].[All]" allUniqueName="[Categorie].[Categories].[All]" dimensionUniqueName="[Categorie]" displayFolder="" count="2" memberValueDatatype="130" unbalanced="0"/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mois].[Mois]" caption="Mois" attribute="1" defaultMemberUniqueName="[mois].[Mois].[All]" allUniqueName="[mois].[Mois].[All]" dimensionUniqueName="[moi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Categorie]" caption="__XL_Count Categorie" measure="1" displayFolder="" measureGroup="Categorie" count="0" hidden="1"/>
    <cacheHierarchy uniqueName="[Measures].[__XL_Count mois]" caption="__XL_Count mois" measure="1" displayFolder="" measureGroup="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023121127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S1"/>
    <x v="0"/>
    <x v="0"/>
    <s v="1 unité"/>
    <n v="10"/>
    <n v="20"/>
    <n v="55"/>
    <n v="60"/>
    <n v="15"/>
    <n v="599.4666666666667"/>
    <x v="0"/>
    <x v="0"/>
  </r>
  <r>
    <s v="S2"/>
    <x v="1"/>
    <x v="0"/>
    <s v="1 unité"/>
    <n v="10"/>
    <n v="3"/>
    <n v="96"/>
    <n v="87"/>
    <n v="12"/>
    <n v="1400"/>
    <x v="1"/>
    <x v="0"/>
  </r>
  <r>
    <s v="B1"/>
    <x v="2"/>
    <x v="1"/>
    <s v="1 unité "/>
    <n v="10"/>
    <n v="10"/>
    <n v="95"/>
    <n v="79"/>
    <n v="26"/>
    <n v="0.20904761904761907"/>
    <x v="2"/>
    <x v="0"/>
  </r>
  <r>
    <s v="B2"/>
    <x v="2"/>
    <x v="1"/>
    <s v="Pack de 10 unités"/>
    <n v="50"/>
    <n v="15"/>
    <n v="147"/>
    <n v="64"/>
    <n v="98"/>
    <n v="2"/>
    <x v="3"/>
    <x v="0"/>
  </r>
  <r>
    <s v="B3"/>
    <x v="2"/>
    <x v="1"/>
    <s v="Pack de 20 unités"/>
    <n v="20"/>
    <n v="5"/>
    <n v="320"/>
    <n v="195"/>
    <n v="130"/>
    <n v="4"/>
    <x v="4"/>
    <x v="0"/>
  </r>
  <r>
    <s v="E1"/>
    <x v="3"/>
    <x v="2"/>
    <s v="1 unité"/>
    <n v="10"/>
    <n v="5"/>
    <n v="24"/>
    <n v="21"/>
    <n v="8"/>
    <n v="700"/>
    <x v="5"/>
    <x v="1"/>
  </r>
  <r>
    <s v="E2"/>
    <x v="4"/>
    <x v="2"/>
    <s v="1 unité"/>
    <n v="10"/>
    <n v="3"/>
    <n v="40"/>
    <n v="24"/>
    <n v="19"/>
    <n v="300"/>
    <x v="6"/>
    <x v="0"/>
  </r>
  <r>
    <s v="E3"/>
    <x v="5"/>
    <x v="2"/>
    <s v="1 unité"/>
    <n v="10"/>
    <n v="6"/>
    <n v="65"/>
    <n v="28"/>
    <n v="43"/>
    <n v="150"/>
    <x v="7"/>
    <x v="0"/>
  </r>
  <r>
    <s v="E4"/>
    <x v="6"/>
    <x v="2"/>
    <s v="1 unité"/>
    <n v="10"/>
    <n v="0"/>
    <n v="60"/>
    <n v="60"/>
    <n v="0"/>
    <n v="500"/>
    <x v="8"/>
    <x v="2"/>
  </r>
  <r>
    <s v="C1"/>
    <x v="7"/>
    <x v="3"/>
    <s v="1 unité"/>
    <n v="10"/>
    <n v="3"/>
    <n v="50"/>
    <n v="40"/>
    <n v="13"/>
    <n v="751.88679245283015"/>
    <x v="9"/>
    <x v="0"/>
  </r>
  <r>
    <s v="C2"/>
    <x v="8"/>
    <x v="3"/>
    <s v="1 unité"/>
    <n v="10"/>
    <n v="6"/>
    <n v="40"/>
    <n v="44"/>
    <n v="2"/>
    <n v="407.06521739130437"/>
    <x v="1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193FB5-28CB-4FC6-ADB2-C389A841FEC0}" name="tc3" cacheId="5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>
  <location ref="A7:B8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 numFmtId="165"/>
  </dataFields>
  <formats count="1"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39"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  <x15:activeTabTopLevelEntity name="[Categori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AD8FFE-5116-4B37-9F29-6448A1D445D3}" name="Tableau croisé dynamique11" cacheId="8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9">
  <location ref="A39:B44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Quantité" fld="1" baseField="0" baseItem="0"/>
  </dataField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49DA5C-00D1-44F2-96BE-DAC30838179B}" name="stock valeur categorie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A18:B23" firstHeaderRow="1" firstDataRow="1" firstDataCol="1"/>
  <pivotFields count="12"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dataField="1" numFmtId="164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Valeur" fld="10" baseField="0" baseItem="0" numFmtId="164"/>
  </dataFields>
  <formats count="1">
    <format dxfId="6">
      <pivotArea grandRow="1" outline="0" collapsedLevelsAreSubtotals="1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0D055A-B3CA-4B26-8DBB-9A7ED3C0E018}" name="Tableau croisé dynamique12" cacheId="9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11">
  <location ref="A46:B51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Total" fld="1" baseField="0" baseItem="0" numFmtId="166"/>
  </dataFields>
  <formats count="2">
    <format dxfId="8">
      <pivotArea grandRow="1" outline="0" collapsedLevelsAreSubtotals="1" fieldPosition="0"/>
    </format>
    <format dxfId="7">
      <pivotArea outline="0" collapsedLevelsAreSubtotals="1" fieldPosition="0"/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B9A63D-4033-439B-AEE1-08964E71D686}" name="valeur des entrees mois" cacheId="11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15">
  <location ref="A75:C81" firstHeaderRow="0" firstDataRow="1" firstDataCol="1"/>
  <pivotFields count="5"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2" fld="2" baseField="0" baseItem="0">
      <extLst>
        <ext xmlns:x14="http://schemas.microsoft.com/office/spreadsheetml/2009/9/main" uri="{E15A36E0-9728-4e99-A89B-3F7291B0FE68}">
          <x14:dataField sourceField="2" uniqueName="[__Xl2].[Measures].[Somme de Total]"/>
        </ext>
      </extLst>
    </dataField>
    <dataField name="Somme de Total" fld="4" baseField="0" baseItem="0">
      <extLst>
        <ext xmlns:x14="http://schemas.microsoft.com/office/spreadsheetml/2009/9/main" uri="{E15A36E0-9728-4e99-A89B-3F7291B0FE68}">
          <x14:dataField sourceField="2"/>
        </ext>
      </extLst>
    </dataField>
  </dataFields>
  <formats count="1">
    <format dxfId="9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0"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13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B45EE7-3574-4B37-8800-280E3D017111}" name="top 3 " cacheId="6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12">
  <location ref="A94:B98" firstHeaderRow="1" firstDataRow="1" firstDataCol="1"/>
  <pivotFields count="3">
    <pivotField dataField="1" subtotalTop="0" showAll="0" defaultSubtotal="0"/>
    <pivotField axis="axisRow" allDrilled="1" subtotalTop="0" showAll="0" measureFilter="1" sortType="a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Total" fld="0" baseField="0" baseItem="0" numFmtId="167"/>
  </dataFields>
  <formats count="2">
    <format dxfId="11">
      <pivotArea outline="0" collapsedLevelsAreSubtotals="1" fieldPosition="0"/>
    </format>
    <format dxfId="10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count" id="1" iMeasureHier="37">
      <autoFilter ref="A1">
        <filterColumn colId="0">
          <top10 val="3" filterVal="3"/>
        </filterColumn>
      </autoFilter>
    </filter>
  </filters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E7C71-FD41-4C84-A622-B82F346D5221}" name="tc2" cacheId="4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>
  <location ref="A4:B5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 numFmtId="165"/>
  </dataFields>
  <formats count="1">
    <format dxfId="1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39"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  <x15:activeTabTopLevelEntity name="[Categori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670C02-21AF-41A4-B520-525720AACB34}" name="Tableau croisé dynamique9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6">
  <location ref="A25:B30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Quantité" fld="1" baseField="0" baseItem="0"/>
  </dataFields>
  <formats count="1">
    <format dxfId="13">
      <pivotArea grandRow="1" outline="0" collapsedLevelsAreSubtotals="1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9"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F6585-7EA0-48F8-9F25-5072F56F2299}" name="Tableau croisé dynamique10" cacheId="7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7">
  <location ref="A32:B37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Total" fld="1" baseField="0" baseItem="0" numFmtId="166"/>
  </dataFields>
  <formats count="2">
    <format dxfId="15">
      <pivotArea outline="0" collapsedLevelsAreSubtotals="1" fieldPosition="0"/>
    </format>
    <format dxfId="14">
      <pivotArea grandRow="1" outline="0" collapsedLevelsAreSubtotals="1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FC8C42-2D0F-41B4-8B65-FBDE4F7245D0}" name="valeur sortie par mois" cacheId="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21">
  <location ref="A85:C91" firstHeaderRow="0" firstDataRow="1" firstDataCol="1"/>
  <pivotFields count="5">
    <pivotField axis="axisRow" allDrilled="1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2" baseField="0" baseItem="0"/>
    <dataField name="Somme de Total2" fld="4" baseField="0" baseItem="0">
      <extLst>
        <ext xmlns:x14="http://schemas.microsoft.com/office/spreadsheetml/2009/9/main" uri="{E15A36E0-9728-4e99-A89B-3F7291B0FE68}">
          <x14:dataField sourceField="2" uniqueName="[__Xl2].[Measures].[Somme de Total 2]"/>
        </ext>
      </extLst>
    </dataField>
  </dataFields>
  <formats count="2">
    <format dxfId="17">
      <pivotArea collapsedLevelsAreSubtotals="1" fieldPosition="0">
        <references count="2">
          <reference field="4294967294" count="1" selected="0">
            <x v="0"/>
          </reference>
          <reference field="1" count="1">
            <x v="1"/>
          </reference>
        </references>
      </pivotArea>
    </format>
    <format dxfId="16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0"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23"/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F4C557-62AA-4762-B662-5CA7FA8F0899}" name="TCD 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1:B2" firstHeaderRow="0" firstDataRow="1" firstDataCol="0"/>
  <pivotFields count="12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dataField="1" numFmtId="164" showAll="0">
      <items count="12">
        <item x="8"/>
        <item x="2"/>
        <item x="3"/>
        <item x="4"/>
        <item x="10"/>
        <item x="5"/>
        <item x="6"/>
        <item x="7"/>
        <item x="0"/>
        <item x="9"/>
        <item x="1"/>
        <item t="default"/>
      </items>
    </pivotField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Stock final" fld="8" baseField="0" baseItem="0"/>
    <dataField name="Somme de Valeur" fld="10" baseField="0" baseItem="0" numFmtId="165"/>
  </dataFields>
  <formats count="1">
    <format dxfId="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2F13C2-43DF-422E-B379-C1135F0EC0E3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102:B106" firstHeaderRow="1" firstDataRow="1" firstDataCol="1" rowPageCount="1" colPageCount="1"/>
  <pivotFields count="12">
    <pivotField showAll="0"/>
    <pivotField axis="axisRow" showAll="0">
      <items count="10">
        <item x="6"/>
        <item x="5"/>
        <item x="0"/>
        <item x="1"/>
        <item x="8"/>
        <item x="2"/>
        <item x="7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axis="axisPage" multipleItemSelectionAllowed="1" showAll="0">
      <items count="4">
        <item x="2"/>
        <item x="1"/>
        <item h="1" x="0"/>
        <item t="default"/>
      </items>
    </pivotField>
  </pivotFields>
  <rowFields count="1">
    <field x="1"/>
  </rowFields>
  <rowItems count="4">
    <i>
      <x/>
    </i>
    <i>
      <x v="4"/>
    </i>
    <i>
      <x v="8"/>
    </i>
    <i t="grand">
      <x/>
    </i>
  </rowItems>
  <colItems count="1">
    <i/>
  </colItems>
  <pageFields count="1">
    <pageField fld="11" hier="-1"/>
  </pageFields>
  <dataFields count="1">
    <dataField name="Somme de Stock fin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2B0D9-A6AF-4450-A4F5-5A91C8DFF724}" name="Tableau croisé dynamique16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64:C70" firstHeaderRow="0" firstDataRow="1" firstDataCol="1"/>
  <pivotFields count="5">
    <pivotField axis="axisRow" allDrilled="1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Quantité2" fld="2" baseField="0" baseItem="0">
      <extLst>
        <ext xmlns:x14="http://schemas.microsoft.com/office/spreadsheetml/2009/9/main" uri="{E15A36E0-9728-4e99-A89B-3F7291B0FE68}">
          <x14:dataField sourceField="2" uniqueName="[__Xl2].[Measures].[Somme de Quantité 2]"/>
        </ext>
      </extLst>
    </dataField>
    <dataField name="Somme de Quantité" fld="4" baseField="0" baseItem="0">
      <extLst>
        <ext xmlns:x14="http://schemas.microsoft.com/office/spreadsheetml/2009/9/main" uri="{E15A36E0-9728-4e99-A89B-3F7291B0FE68}">
          <x14:dataField sourceField="2"/>
        </ext>
      </extLst>
    </dataField>
  </dataFields>
  <pivotHierarchies count="40"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23"/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A4B045-DAB7-40EC-9CAD-0E6EEEF0A1FF}" name="stock entree par mois" cacheId="10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6">
  <location ref="A54:B60" firstHeaderRow="1" firstDataRow="1" firstDataCol="1"/>
  <pivotFields count="4"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Quantité" fld="2" baseField="0" baseItem="0"/>
  </dataFields>
  <pivotHierarchies count="3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3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4A91FD-CFB3-417C-82AE-862DA212F742}" name="Tableau croisé dynamique7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21">
  <location ref="A11:B16" firstHeaderRow="1" firstDataRow="1" firstDataCol="1"/>
  <pivotFields count="12"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Stock final" fld="8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egories" xr10:uid="{98CE9419-E874-47D7-A271-F590B784A521}" sourceName="[Categorie].[Categories]">
  <pivotTables>
    <pivotTable tabId="14" name="tc3"/>
    <pivotTable tabId="14" name="tc2"/>
    <pivotTable tabId="14" name="Tableau croisé dynamique16"/>
    <pivotTable tabId="14" name="Tableau croisé dynamique9"/>
    <pivotTable tabId="14" name="valeur des entrees mois"/>
    <pivotTable tabId="14" name="valeur sortie par mois"/>
  </pivotTables>
  <data>
    <olap pivotCacheId="2023121127">
      <levels count="2">
        <level uniqueName="[Categorie].[Categories].[(All)]" sourceCaption="(All)" count="0"/>
        <level uniqueName="[Categorie].[Categories].[Categories]" sourceCaption="Categories" count="4">
          <ranges>
            <range startItem="0">
              <i n="[Categorie].[Categories].&amp;[Biscuits]" c="Biscuits"/>
              <i n="[Categorie].[Categories].&amp;[Consoles]" c="Consoles"/>
              <i n="[Categorie].[Categories].&amp;[Electro]" c="Electro"/>
              <i n="[Categorie].[Categories].&amp;[SmartPhone]" c="SmartPhone"/>
            </range>
          </ranges>
        </level>
      </levels>
      <selections count="1">
        <selection n="[Categorie].[Categories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éférences" xr10:uid="{EBAEB173-6E97-4178-AEC3-5736A057D9B1}" sourceName="[lesReferences].[Références]">
  <pivotTables>
    <pivotTable tabId="14" name="tc2"/>
    <pivotTable tabId="14" name="tc3"/>
    <pivotTable tabId="14" name="Tableau croisé dynamique16"/>
    <pivotTable tabId="14" name="Tableau croisé dynamique9"/>
    <pivotTable tabId="14" name="valeur des entrees mois"/>
    <pivotTable tabId="14" name="valeur sortie par mois"/>
  </pivotTables>
  <data>
    <olap pivotCacheId="2023121127">
      <levels count="2">
        <level uniqueName="[lesReferences].[Références].[(All)]" sourceCaption="(All)" count="0"/>
        <level uniqueName="[lesReferences].[Références].[Références]" sourceCaption="Références" count="11">
          <ranges>
            <range startItem="0">
              <i n="[lesReferences].[Références].&amp;[B1]" c="B1"/>
              <i n="[lesReferences].[Références].&amp;[B2]" c="B2"/>
              <i n="[lesReferences].[Références].&amp;[B3]" c="B3"/>
              <i n="[lesReferences].[Références].&amp;[C1]" c="C1"/>
              <i n="[lesReferences].[Références].&amp;[C2]" c="C2"/>
              <i n="[lesReferences].[Références].&amp;[E1]" c="E1"/>
              <i n="[lesReferences].[Références].&amp;[E2]" c="E2"/>
              <i n="[lesReferences].[Références].&amp;[E3]" c="E3"/>
              <i n="[lesReferences].[Références].&amp;[E4]" c="E4"/>
              <i n="[lesReferences].[Références].&amp;[S1]" c="S1"/>
              <i n="[lesReferences].[Références].&amp;[S2]" c="S2"/>
            </range>
          </ranges>
        </level>
      </levels>
      <selections count="1">
        <selection n="[lesReferences].[Références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8E21CA50-968B-460C-8A2B-D462A1336D50}" sourceName="[lesMois].[Mois]">
  <pivotTables>
    <pivotTable tabId="14" name="tc2"/>
    <pivotTable tabId="14" name="tc3"/>
    <pivotTable tabId="14" name="top 3 "/>
    <pivotTable tabId="14" name="Tableau croisé dynamique10"/>
    <pivotTable tabId="14" name="Tableau croisé dynamique11"/>
    <pivotTable tabId="14" name="Tableau croisé dynamique12"/>
    <pivotTable tabId="14" name="stock entree par mois"/>
    <pivotTable tabId="14" name="valeur des entrees mois"/>
  </pivotTables>
  <data>
    <olap pivotCacheId="2023121127">
      <levels count="2">
        <level uniqueName="[lesMois].[Mois].[(All)]" sourceCaption="(All)" count="0"/>
        <level uniqueName="[lesMois].[Mois].[Mois]" sourceCaption="Mois" count="5">
          <ranges>
            <range startItem="0">
              <i n="[lesMois].[Mois].&amp;[avr]" c="avr"/>
              <i n="[lesMois].[Mois].&amp;[févr]" c="févr"/>
              <i n="[lesMois].[Mois].&amp;[janv]" c="janv"/>
              <i n="[lesMois].[Mois].&amp;[mai]" c="mai"/>
              <i n="[lesMois].[Mois].&amp;[mars]" c="mars"/>
            </range>
          </ranges>
        </level>
      </levels>
      <selections count="1">
        <selection n="[lesMois].[Mois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es 1" xr10:uid="{146D6C44-5701-42AB-9E06-13B1B8E163F8}" cache="Segment_Categories" caption="Categories" level="1" style="SlicerStyleLight6" rowHeight="241300"/>
  <slicer name="Références 1" xr10:uid="{F2877D58-74C9-465E-8D91-BB57714982E0}" cache="Segment_Références" caption="Références" columnCount="3" level="1" style="SlicerStyleLight6" rowHeight="241300"/>
  <slicer name="Mois 1" xr10:uid="{B8E9AD20-8831-4FA2-B055-E4A2D5B47488}" cache="Segment_Mois" caption="Mois" columnCount="2" level="1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es" xr10:uid="{11024ACE-9A37-4DB6-8148-6BCFC43C5E04}" cache="Segment_Categories" caption="Categories" level="1" rowHeight="241300"/>
  <slicer name="Références" xr10:uid="{56CB56CA-EA53-4E08-84E4-7AF98E933BED}" cache="Segment_Références" caption="Références" columnCount="3" level="1" rowHeight="241300"/>
  <slicer name="Mois" xr10:uid="{10B55240-2326-43CB-A592-014777922D90}" cache="Segment_Mois" caption="Mois" level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B7ADDF-8724-4FBD-A21F-3CA7E69BDD54}" name="listeProduits" displayName="listeProduits" ref="C14:J25" totalsRowShown="0" headerRowDxfId="70" dataDxfId="69">
  <autoFilter ref="C14:J25" xr:uid="{7DBD995E-9056-48FE-A692-A1C33325CB75}"/>
  <tableColumns count="8">
    <tableColumn id="1" xr3:uid="{0229BEFB-2762-4DD6-BE9F-BB731D9D2550}" name="Référence" dataDxfId="68"/>
    <tableColumn id="2" xr3:uid="{69181FD6-241F-48AC-8770-FD360A3A5D09}" name="Désignation" dataDxfId="67"/>
    <tableColumn id="3" xr3:uid="{653A60CB-48A1-4B6B-8CEE-A19375500291}" name="Catégorie" dataDxfId="66"/>
    <tableColumn id="4" xr3:uid="{57170E49-5279-4228-9CCA-87DFA972F364}" name="Unité" dataDxfId="65"/>
    <tableColumn id="8" xr3:uid="{56D46FC4-26DA-485D-BF6A-955386E6D988}" name="Seuil d'alerte" dataDxfId="64"/>
    <tableColumn id="7" xr3:uid="{98C0B310-9549-478B-9F9D-EE31A9EAA7C3}" name="Stock initial" dataDxfId="63"/>
    <tableColumn id="6" xr3:uid="{67E0BD55-1F7C-4945-860F-0026DA4965D6}" name="Prix unitaire" dataDxfId="62"/>
    <tableColumn id="5" xr3:uid="{8794DDBC-18EB-4B0A-B625-070918D096DB}" name="Total" dataDxfId="61">
      <calculatedColumnFormula>listeProduits[[#This Row],[Stock initial]]*listeProduits[[#This Row],[Prix unitaire]]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010C46-8DEB-4521-8D5A-D81198D89F82}" name="listeAchats" displayName="listeAchats" ref="C6:K63" totalsRowShown="0" headerRowDxfId="60" dataDxfId="59">
  <autoFilter ref="C6:K63" xr:uid="{FBC92809-A0A3-41BD-BD6B-A1A48E41444F}"/>
  <tableColumns count="9">
    <tableColumn id="1" xr3:uid="{6036FD50-7731-4593-8EAC-FADBAEF83BAB}" name="Numéro" dataDxfId="58"/>
    <tableColumn id="10" xr3:uid="{BC77A533-7FE4-4F09-9092-C2700BC2AB71}" name="Date" dataDxfId="57"/>
    <tableColumn id="9" xr3:uid="{FA449DF7-B3D0-4548-A945-06B4965F1B20}" name="Référence" dataDxfId="56"/>
    <tableColumn id="8" xr3:uid="{77AECE20-D510-423B-9DCF-36C61FAC7276}" name="Désignation" dataDxfId="55"/>
    <tableColumn id="7" xr3:uid="{6855B33D-4745-4741-9779-09D7B20EEC1A}" name="Catégorie" dataDxfId="54"/>
    <tableColumn id="6" xr3:uid="{AA238DD9-AF59-4091-9793-9DF7C13A007B}" name="Unité" dataDxfId="53"/>
    <tableColumn id="5" xr3:uid="{F95BCB2C-A98F-4257-8D0B-F4750BE5D00E}" name="Coût d'achat" dataDxfId="52"/>
    <tableColumn id="2" xr3:uid="{E7797A9D-C487-4F25-A92A-49779B14AD1C}" name="Quantité" dataDxfId="51"/>
    <tableColumn id="3" xr3:uid="{9481A671-1A37-48FD-9423-3882301CDABC}" name="Total" dataDxfId="5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B97AFBA-9F9F-4CDC-BE43-538AF748D910}" name="listeVentes" displayName="listeVentes" ref="C6:K66" totalsRowShown="0" headerRowDxfId="49" dataDxfId="48">
  <autoFilter ref="C6:K66" xr:uid="{22FDADE4-02FF-46E6-AF6F-3871B013E254}"/>
  <tableColumns count="9">
    <tableColumn id="1" xr3:uid="{E27792E8-AD65-44DE-8928-F2F127115287}" name="Numéro" dataDxfId="47"/>
    <tableColumn id="10" xr3:uid="{504282B1-4D3E-4C1A-8AFC-FF1D140BEC81}" name="Date" dataDxfId="46"/>
    <tableColumn id="9" xr3:uid="{27CE6545-277D-4C40-B1C0-FFE9AF03D9A8}" name="Référence" dataDxfId="45"/>
    <tableColumn id="8" xr3:uid="{928709BF-CA60-40E2-A381-29FB9C39540F}" name="Désignation" dataDxfId="44"/>
    <tableColumn id="7" xr3:uid="{CCD6BBBF-AAC8-49F6-942E-F736F510C7D5}" name="Catégorie" dataDxfId="43"/>
    <tableColumn id="6" xr3:uid="{F1857E15-A99F-4799-83EE-E2F326BE1821}" name="Unité" dataDxfId="42"/>
    <tableColumn id="5" xr3:uid="{4234A30E-AFCB-4635-A3CC-009F32C5B30B}" name="Prix de vente" dataDxfId="41"/>
    <tableColumn id="2" xr3:uid="{29E2188B-82CC-4864-AAEB-AAD3346C18B8}" name="Quantité" dataDxfId="40"/>
    <tableColumn id="3" xr3:uid="{71262398-BBBF-4CDF-A096-8F3BD034ADF1}" name="Total" dataDxfId="3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F327331-FCE2-47EC-AC7A-264D45049CD5}" name="listeInventaire" displayName="listeInventaire" ref="C5:N16" totalsRowShown="0" headerRowDxfId="35" dataDxfId="33" headerRowBorderDxfId="34" tableBorderDxfId="32" totalsRowBorderDxfId="31">
  <autoFilter ref="C5:N16" xr:uid="{9461CF19-655C-4501-BCB1-5A2CB4358DAD}"/>
  <tableColumns count="12">
    <tableColumn id="1" xr3:uid="{CE917253-C0E9-4992-B8E4-4F53EBB1ED59}" name="Référence" dataDxfId="30"/>
    <tableColumn id="10" xr3:uid="{9D6FDADB-9941-4A3B-A0F4-718BC2EDC925}" name="Désignation" dataDxfId="29">
      <calculatedColumnFormula>IFERROR(VLOOKUP(listeInventaire[[#This Row],[Référence]],listeProduits[],2,FALSE),"")</calculatedColumnFormula>
    </tableColumn>
    <tableColumn id="9" xr3:uid="{3376FBB9-D02F-455F-86C4-3310A3C29B92}" name="Catégorie" dataDxfId="28">
      <calculatedColumnFormula>IFERROR(VLOOKUP(listeInventaire[[#This Row],[Référence]],listeProduits[],3,FALSE),"")</calculatedColumnFormula>
    </tableColumn>
    <tableColumn id="8" xr3:uid="{9006CB1C-F6E0-426E-B742-25F3F970B0C6}" name="Unité" dataDxfId="27">
      <calculatedColumnFormula>IFERROR(VLOOKUP(listeInventaire[[#This Row],[Référence]],listeProduits[],4,FALSE),"")</calculatedColumnFormula>
    </tableColumn>
    <tableColumn id="14" xr3:uid="{DD7C1828-E2CA-42B9-B2CD-5549891AFF53}" name="Seuil d'alerte" dataDxfId="26">
      <calculatedColumnFormula>IFERROR(VLOOKUP(listeInventaire[[#This Row],[Référence]],listeProduits[],5,FALSE),"")</calculatedColumnFormula>
    </tableColumn>
    <tableColumn id="7" xr3:uid="{9FE58FD7-B33E-40D5-81AE-9971B77BF32A}" name="Stock initial" dataDxfId="25">
      <calculatedColumnFormula>IFERROR(VLOOKUP(listeInventaire[[#This Row],[Référence]],listeProduits[],6,FALSE),"")</calculatedColumnFormula>
    </tableColumn>
    <tableColumn id="6" xr3:uid="{7C4F6B98-BCBF-4D26-9642-E5447B396DDE}" name="Entrées" dataDxfId="24">
      <calculatedColumnFormula>SUMIF(listeAchats[Référence],listeInventaire[[#This Row],[Référence]],listeAchats[Quantité])</calculatedColumnFormula>
    </tableColumn>
    <tableColumn id="5" xr3:uid="{83CEEEA7-DB99-46BB-853A-34782B692876}" name="Sorties" dataDxfId="23">
      <calculatedColumnFormula>SUMIF(listeVentes[Référence],listeInventaire[[#This Row],[Référence]],listeVentes[Quantité])</calculatedColumnFormula>
    </tableColumn>
    <tableColumn id="11" xr3:uid="{5C858EA5-5FE3-48B7-9F7A-2459D826E103}" name="Stock final" dataDxfId="22">
      <calculatedColumnFormula>IFERROR(listeInventaire[[#This Row],[Stock initial]]+listeInventaire[[#This Row],[Entrées]]-listeInventaire[[#This Row],[Sorties]],"")</calculatedColumnFormula>
    </tableColumn>
    <tableColumn id="2" xr3:uid="{1AB82886-951E-490A-9714-0FED7CFCE89D}" name="CUMP" dataDxfId="21">
      <calculatedColumnFormula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calculatedColumnFormula>
    </tableColumn>
    <tableColumn id="13" xr3:uid="{B0301882-199A-4893-A4CD-746DD8B61B43}" name="Valeur" dataDxfId="20">
      <calculatedColumnFormula>IFERROR(listeInventaire[[#This Row],[Stock final]]*listeInventaire[[#This Row],[CUMP]],"")</calculatedColumnFormula>
    </tableColumn>
    <tableColumn id="3" xr3:uid="{D0316544-D8F0-4DB7-90A1-1C10BB3C8D00}" name="Statue" dataDxfId="19">
      <calculatedColumnFormula>IF(listeInventaire[[#This Row],[Stock final]]&gt;listeInventaire[[#This Row],[Seuil d''alerte]],"Stock normal",IF(listeInventaire[[#This Row],[Stock final]]=0,"Non disponible","Stock faible"))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981FB2-FBAB-4777-8284-DB09B2004631}" name="Categorie" displayName="Categorie" ref="F1:F5" totalsRowShown="0" headerRowDxfId="4" dataDxfId="3">
  <autoFilter ref="F1:F5" xr:uid="{B7981FB2-FBAB-4777-8284-DB09B2004631}"/>
  <tableColumns count="1">
    <tableColumn id="1" xr3:uid="{5626D9D4-90FC-4C4C-A529-7ABFE9966423}" name="Categories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C27AC60-BB7E-4932-9556-0E314530F2E8}" name="Reference" displayName="Reference" ref="G1:G1048576" totalsRowShown="0" headerRowDxfId="1" tableBorderDxfId="0">
  <autoFilter ref="G1:G1048576" xr:uid="{AC27AC60-BB7E-4932-9556-0E314530F2E8}"/>
  <tableColumns count="1">
    <tableColumn id="1" xr3:uid="{E58548DA-51A9-4D62-A707-FAA5C6D13B43}" name="Referenc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969121-88A0-4AF5-9E91-D646700FBF32}" name="mois" displayName="mois" ref="I1:I6" totalsRowShown="0">
  <autoFilter ref="I1:I6" xr:uid="{06969121-88A0-4AF5-9E91-D646700FBF32}"/>
  <tableColumns count="1">
    <tableColumn id="1" xr3:uid="{5C325156-6046-4DC5-B2A1-AAF9901F617B}" name="Moi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nalisé 6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F46BA"/>
      </a:accent1>
      <a:accent2>
        <a:srgbClr val="F9896B"/>
      </a:accent2>
      <a:accent3>
        <a:srgbClr val="84E8F4"/>
      </a:accent3>
      <a:accent4>
        <a:srgbClr val="FDBC64"/>
      </a:accent4>
      <a:accent5>
        <a:srgbClr val="6D6D6D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table" Target="../tables/table6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6" Type="http://schemas.openxmlformats.org/officeDocument/2006/relationships/drawing" Target="../drawings/drawing5.xml"/><Relationship Id="rId20" Type="http://schemas.microsoft.com/office/2007/relationships/slicer" Target="../slicers/slicer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7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5FA8B-24D8-47B8-8751-B19C5B27AA59}">
  <sheetPr codeName="Feuil5"/>
  <dimension ref="A1:P19"/>
  <sheetViews>
    <sheetView showGridLines="0" zoomScale="88" zoomScaleNormal="130" workbookViewId="0">
      <selection activeCell="I16" sqref="I16"/>
    </sheetView>
  </sheetViews>
  <sheetFormatPr baseColWidth="10" defaultColWidth="8.85546875" defaultRowHeight="15"/>
  <cols>
    <col min="1" max="5" width="8.85546875" style="1"/>
    <col min="6" max="6" width="7.7109375" style="1" customWidth="1"/>
    <col min="7" max="7" width="29.7109375" style="1" customWidth="1"/>
    <col min="8" max="8" width="8.85546875" style="1" customWidth="1"/>
    <col min="9" max="9" width="25" style="1" customWidth="1"/>
    <col min="10" max="10" width="7.7109375" style="1" customWidth="1"/>
    <col min="11" max="16384" width="8.85546875" style="1"/>
  </cols>
  <sheetData>
    <row r="1" spans="1:16" ht="18.600000000000001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5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26.45" customHeight="1">
      <c r="A3" s="5"/>
      <c r="B3" s="5"/>
      <c r="C3" s="5"/>
      <c r="D3" s="5"/>
      <c r="E3" s="5"/>
      <c r="F3" s="2"/>
      <c r="G3" s="9" t="s">
        <v>17</v>
      </c>
      <c r="H3" s="3"/>
      <c r="I3" s="3"/>
      <c r="J3" s="2"/>
      <c r="K3" s="5"/>
      <c r="L3" s="5"/>
      <c r="M3" s="5"/>
      <c r="N3" s="5"/>
      <c r="O3" s="5"/>
      <c r="P3" s="5"/>
    </row>
    <row r="4" spans="1:16" ht="17.45" customHeight="1">
      <c r="F4" s="2"/>
      <c r="G4" s="60" t="s">
        <v>28</v>
      </c>
      <c r="H4" s="60"/>
      <c r="I4" s="60"/>
      <c r="J4" s="2"/>
    </row>
    <row r="5" spans="1:16" ht="10.15" customHeight="1">
      <c r="F5" s="2"/>
      <c r="G5" s="2"/>
      <c r="H5" s="3"/>
      <c r="I5" s="3"/>
      <c r="J5" s="2"/>
    </row>
    <row r="6" spans="1:16" ht="16.149999999999999" customHeight="1">
      <c r="F6" s="2"/>
      <c r="G6" s="32" t="s">
        <v>31</v>
      </c>
      <c r="H6" s="2"/>
      <c r="I6" s="32" t="s">
        <v>2</v>
      </c>
      <c r="J6" s="2"/>
    </row>
    <row r="7" spans="1:16" ht="22.15" customHeight="1">
      <c r="F7" s="2"/>
      <c r="G7" s="28"/>
      <c r="H7" s="2"/>
      <c r="I7" s="31"/>
      <c r="J7" s="2"/>
    </row>
    <row r="8" spans="1:16" ht="16.149999999999999" customHeight="1">
      <c r="F8" s="2"/>
      <c r="G8" s="2"/>
      <c r="H8" s="2"/>
      <c r="I8" s="2"/>
      <c r="J8" s="2"/>
    </row>
    <row r="9" spans="1:16" ht="16.149999999999999" customHeight="1">
      <c r="F9" s="2"/>
      <c r="G9" s="32" t="s">
        <v>30</v>
      </c>
      <c r="H9" s="2"/>
      <c r="I9" s="32" t="s">
        <v>9</v>
      </c>
      <c r="J9" s="2"/>
    </row>
    <row r="10" spans="1:16" ht="22.15" customHeight="1">
      <c r="F10" s="2"/>
      <c r="G10" s="28"/>
      <c r="H10" s="2"/>
      <c r="I10" s="30"/>
      <c r="J10" s="2"/>
    </row>
    <row r="11" spans="1:16" ht="16.149999999999999" customHeight="1">
      <c r="F11" s="2"/>
      <c r="G11" s="2"/>
      <c r="H11" s="2"/>
      <c r="I11" s="2"/>
      <c r="J11" s="2"/>
    </row>
    <row r="12" spans="1:16" ht="16.149999999999999" customHeight="1">
      <c r="F12" s="2"/>
      <c r="G12" s="32" t="s">
        <v>29</v>
      </c>
      <c r="H12" s="2"/>
      <c r="I12" s="32" t="s">
        <v>33</v>
      </c>
      <c r="J12" s="2"/>
    </row>
    <row r="13" spans="1:16" ht="22.15" customHeight="1">
      <c r="F13" s="2"/>
      <c r="G13" s="28"/>
      <c r="H13" s="2"/>
      <c r="I13" s="29"/>
      <c r="J13" s="2"/>
    </row>
    <row r="14" spans="1:16" ht="16.149999999999999" customHeight="1">
      <c r="F14" s="2"/>
      <c r="G14" s="2"/>
      <c r="H14" s="2"/>
      <c r="I14" s="2"/>
      <c r="J14" s="2"/>
    </row>
    <row r="15" spans="1:16" ht="16.149999999999999" customHeight="1">
      <c r="F15" s="2"/>
      <c r="G15" s="32" t="s">
        <v>8</v>
      </c>
      <c r="H15" s="2"/>
      <c r="I15" s="32" t="s">
        <v>6</v>
      </c>
      <c r="J15" s="2"/>
    </row>
    <row r="16" spans="1:16" ht="22.15" customHeight="1">
      <c r="F16" s="2"/>
      <c r="G16" s="28"/>
      <c r="H16" s="2"/>
      <c r="I16" s="33"/>
      <c r="J16" s="2"/>
    </row>
    <row r="17" spans="6:10" ht="16.149999999999999" customHeight="1">
      <c r="F17" s="2"/>
      <c r="G17" s="7"/>
      <c r="H17" s="2"/>
      <c r="I17" s="2"/>
      <c r="J17" s="2"/>
    </row>
    <row r="18" spans="6:10" ht="22.15" customHeight="1">
      <c r="F18" s="2"/>
      <c r="G18" s="2"/>
      <c r="H18" s="2"/>
      <c r="I18" s="2"/>
      <c r="J18" s="2"/>
    </row>
    <row r="19" spans="6:10" ht="17.45" customHeight="1">
      <c r="F19" s="2"/>
      <c r="G19" s="2"/>
      <c r="H19" s="2"/>
      <c r="I19" s="2"/>
      <c r="J19" s="2"/>
    </row>
  </sheetData>
  <mergeCells count="1">
    <mergeCell ref="G4:I4"/>
  </mergeCells>
  <dataValidations count="1">
    <dataValidation type="date" operator="greaterThan" allowBlank="1" showInputMessage="1" showErrorMessage="1" error="Veuillez saisir une date correcte" sqref="I7" xr:uid="{43724A14-38E0-4E71-97D0-093663A523AB}">
      <formula1>44561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BDFC9-46C5-4D9C-81D5-B08E2915CCD3}">
  <sheetPr codeName="Feuil8"/>
  <dimension ref="A1:N31"/>
  <sheetViews>
    <sheetView showGridLines="0" topLeftCell="A10" zoomScale="115" zoomScaleNormal="115" workbookViewId="0">
      <selection activeCell="Q1" sqref="Q1"/>
    </sheetView>
  </sheetViews>
  <sheetFormatPr baseColWidth="10" defaultColWidth="8.85546875" defaultRowHeight="15"/>
  <cols>
    <col min="1" max="1" width="11.7109375" style="1" customWidth="1"/>
    <col min="2" max="2" width="7.7109375" style="1" customWidth="1"/>
    <col min="3" max="3" width="15.140625" style="1" customWidth="1"/>
    <col min="4" max="4" width="31.28515625" style="1" customWidth="1"/>
    <col min="5" max="5" width="20" style="1" customWidth="1"/>
    <col min="6" max="6" width="20.5703125" style="1" customWidth="1"/>
    <col min="7" max="7" width="14.140625" style="1" customWidth="1"/>
    <col min="8" max="8" width="13.28515625" style="1" customWidth="1"/>
    <col min="9" max="9" width="13" style="1" customWidth="1"/>
    <col min="10" max="10" width="14" style="1" customWidth="1"/>
    <col min="11" max="11" width="7.7109375" style="1" customWidth="1"/>
    <col min="12" max="17" width="11.7109375" style="1" customWidth="1"/>
    <col min="18" max="19" width="9.7109375" style="1" customWidth="1"/>
    <col min="20" max="16384" width="8.85546875" style="1"/>
  </cols>
  <sheetData>
    <row r="1" spans="1:14" ht="22.15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ht="13.9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4" ht="26.45" customHeight="1">
      <c r="A3" s="5"/>
      <c r="B3" s="2"/>
      <c r="C3" s="61" t="s">
        <v>42</v>
      </c>
      <c r="D3" s="61"/>
      <c r="E3" s="61"/>
      <c r="F3" s="8"/>
      <c r="G3" s="8"/>
      <c r="H3" s="8"/>
      <c r="I3" s="8"/>
      <c r="J3" s="3"/>
      <c r="K3" s="2"/>
      <c r="L3" s="5"/>
      <c r="M3" s="5"/>
      <c r="N3" s="5"/>
    </row>
    <row r="4" spans="1:14" ht="15" customHeight="1">
      <c r="B4" s="2"/>
      <c r="C4" s="60" t="s">
        <v>48</v>
      </c>
      <c r="D4" s="60"/>
      <c r="E4" s="11"/>
      <c r="F4" s="11"/>
      <c r="G4" s="11"/>
      <c r="H4" s="11"/>
      <c r="I4" s="11"/>
      <c r="J4" s="11"/>
      <c r="K4" s="2"/>
      <c r="L4" s="5"/>
      <c r="M4" s="5"/>
      <c r="N4" s="5"/>
    </row>
    <row r="5" spans="1:14" ht="15.75" thickBot="1">
      <c r="B5" s="2"/>
      <c r="C5" s="2"/>
      <c r="D5" s="2"/>
      <c r="E5" s="2"/>
      <c r="F5" s="2"/>
      <c r="G5" s="2"/>
      <c r="H5" s="2"/>
      <c r="I5" s="2"/>
      <c r="J5" s="3"/>
      <c r="K5" s="2"/>
    </row>
    <row r="6" spans="1:14" ht="18" customHeight="1" thickTop="1" thickBot="1">
      <c r="B6" s="2"/>
      <c r="C6" s="25" t="s">
        <v>14</v>
      </c>
      <c r="D6" s="42"/>
      <c r="E6" s="27" t="s">
        <v>25</v>
      </c>
      <c r="F6" s="42">
        <v>0</v>
      </c>
      <c r="G6" s="2"/>
      <c r="H6" s="2"/>
      <c r="I6" s="2"/>
      <c r="J6" s="2"/>
      <c r="K6" s="2"/>
    </row>
    <row r="7" spans="1:14" ht="18" customHeight="1" thickTop="1" thickBot="1">
      <c r="B7" s="2"/>
      <c r="C7" s="26" t="s">
        <v>0</v>
      </c>
      <c r="D7" s="42"/>
      <c r="E7" s="25" t="s">
        <v>26</v>
      </c>
      <c r="F7" s="42">
        <v>0</v>
      </c>
      <c r="G7" s="2"/>
      <c r="H7" s="2"/>
      <c r="I7" s="2"/>
      <c r="J7" s="2"/>
      <c r="K7" s="2"/>
    </row>
    <row r="8" spans="1:14" ht="18" customHeight="1" thickTop="1" thickBot="1">
      <c r="B8" s="2"/>
      <c r="C8" s="26" t="s">
        <v>15</v>
      </c>
      <c r="D8" s="42"/>
      <c r="E8" s="25" t="s">
        <v>27</v>
      </c>
      <c r="F8" s="44">
        <v>0</v>
      </c>
      <c r="G8" s="2"/>
      <c r="H8" s="2"/>
      <c r="I8" s="2"/>
      <c r="J8" s="2"/>
      <c r="K8" s="2"/>
    </row>
    <row r="9" spans="1:14" ht="18" customHeight="1" thickTop="1" thickBot="1">
      <c r="B9" s="2"/>
      <c r="C9" s="26" t="s">
        <v>24</v>
      </c>
      <c r="D9" s="42"/>
      <c r="E9" s="25" t="s">
        <v>23</v>
      </c>
      <c r="F9" s="43">
        <f>F7*F8</f>
        <v>0</v>
      </c>
      <c r="G9" s="2"/>
      <c r="H9" s="2"/>
      <c r="I9" s="2"/>
      <c r="J9" s="2"/>
      <c r="K9" s="2"/>
    </row>
    <row r="10" spans="1:14" ht="18" customHeight="1" thickTop="1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4" ht="10.9" customHeight="1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4" ht="18" customHeight="1">
      <c r="B12" s="2"/>
      <c r="C12" s="61" t="s">
        <v>43</v>
      </c>
      <c r="D12" s="61"/>
      <c r="E12" s="61"/>
      <c r="F12" s="2"/>
      <c r="G12" s="2"/>
      <c r="H12" s="2"/>
      <c r="I12" s="2"/>
      <c r="J12" s="2"/>
      <c r="K12" s="2"/>
    </row>
    <row r="13" spans="1:14" ht="6" customHeight="1">
      <c r="B13" s="2"/>
      <c r="C13" s="9"/>
      <c r="D13" s="9"/>
      <c r="E13" s="9"/>
      <c r="F13" s="2"/>
      <c r="G13" s="2"/>
      <c r="H13" s="2"/>
      <c r="I13" s="2"/>
      <c r="J13" s="2"/>
      <c r="K13" s="2"/>
    </row>
    <row r="14" spans="1:14" ht="18" customHeight="1">
      <c r="A14" s="6"/>
      <c r="B14" s="2"/>
      <c r="C14" s="10" t="s">
        <v>14</v>
      </c>
      <c r="D14" s="10" t="s">
        <v>0</v>
      </c>
      <c r="E14" s="10" t="s">
        <v>15</v>
      </c>
      <c r="F14" s="10" t="s">
        <v>8</v>
      </c>
      <c r="G14" s="10" t="s">
        <v>3</v>
      </c>
      <c r="H14" s="10" t="s">
        <v>10</v>
      </c>
      <c r="I14" s="10" t="s">
        <v>9</v>
      </c>
      <c r="J14" s="10" t="s">
        <v>6</v>
      </c>
      <c r="K14" s="2"/>
    </row>
    <row r="15" spans="1:14" ht="18" customHeight="1">
      <c r="A15" s="6"/>
      <c r="B15" s="2"/>
      <c r="C15" s="35" t="s">
        <v>53</v>
      </c>
      <c r="D15" s="35" t="s">
        <v>66</v>
      </c>
      <c r="E15" s="35" t="s">
        <v>58</v>
      </c>
      <c r="F15" s="12" t="s">
        <v>32</v>
      </c>
      <c r="G15" s="14">
        <v>10</v>
      </c>
      <c r="H15" s="14">
        <v>3</v>
      </c>
      <c r="I15" s="41">
        <v>1400</v>
      </c>
      <c r="J15" s="41">
        <f>listeProduits[[#This Row],[Stock initial]]*listeProduits[[#This Row],[Prix unitaire]]</f>
        <v>4200</v>
      </c>
      <c r="K15" s="2"/>
    </row>
    <row r="16" spans="1:14" ht="18" customHeight="1">
      <c r="A16" s="6"/>
      <c r="B16" s="2"/>
      <c r="C16" s="35" t="s">
        <v>36</v>
      </c>
      <c r="D16" s="35" t="s">
        <v>50</v>
      </c>
      <c r="E16" s="35" t="s">
        <v>59</v>
      </c>
      <c r="F16" s="12" t="s">
        <v>32</v>
      </c>
      <c r="G16" s="14">
        <v>10</v>
      </c>
      <c r="H16" s="14">
        <v>6</v>
      </c>
      <c r="I16" s="41">
        <v>400</v>
      </c>
      <c r="J16" s="41">
        <f>listeProduits[[#This Row],[Stock initial]]*listeProduits[[#This Row],[Prix unitaire]]</f>
        <v>2400</v>
      </c>
      <c r="K16" s="2"/>
    </row>
    <row r="17" spans="1:11" ht="18" customHeight="1">
      <c r="A17" s="6"/>
      <c r="B17" s="2"/>
      <c r="C17" s="35" t="s">
        <v>35</v>
      </c>
      <c r="D17" s="35" t="s">
        <v>49</v>
      </c>
      <c r="E17" s="35" t="s">
        <v>59</v>
      </c>
      <c r="F17" s="12" t="s">
        <v>32</v>
      </c>
      <c r="G17" s="14">
        <v>10</v>
      </c>
      <c r="H17" s="14">
        <v>3</v>
      </c>
      <c r="I17" s="41">
        <v>750</v>
      </c>
      <c r="J17" s="41">
        <f>listeProduits[[#This Row],[Stock initial]]*listeProduits[[#This Row],[Prix unitaire]]</f>
        <v>2250</v>
      </c>
      <c r="K17" s="2"/>
    </row>
    <row r="18" spans="1:11" ht="18" customHeight="1">
      <c r="A18" s="6"/>
      <c r="B18" s="2"/>
      <c r="C18" s="35" t="s">
        <v>41</v>
      </c>
      <c r="D18" s="35" t="s">
        <v>61</v>
      </c>
      <c r="E18" s="35" t="s">
        <v>60</v>
      </c>
      <c r="F18" s="12" t="s">
        <v>32</v>
      </c>
      <c r="G18" s="14">
        <v>10</v>
      </c>
      <c r="H18" s="14">
        <v>0</v>
      </c>
      <c r="I18" s="41">
        <v>0</v>
      </c>
      <c r="J18" s="41">
        <f>listeProduits[[#This Row],[Stock initial]]*listeProduits[[#This Row],[Prix unitaire]]</f>
        <v>0</v>
      </c>
      <c r="K18" s="2"/>
    </row>
    <row r="19" spans="1:11" ht="18" customHeight="1">
      <c r="A19" s="6"/>
      <c r="B19" s="2"/>
      <c r="C19" s="35" t="s">
        <v>40</v>
      </c>
      <c r="D19" s="35" t="s">
        <v>62</v>
      </c>
      <c r="E19" s="35" t="s">
        <v>60</v>
      </c>
      <c r="F19" s="12" t="s">
        <v>32</v>
      </c>
      <c r="G19" s="14">
        <v>10</v>
      </c>
      <c r="H19" s="14">
        <v>6</v>
      </c>
      <c r="I19" s="41">
        <v>150</v>
      </c>
      <c r="J19" s="41">
        <f>listeProduits[[#This Row],[Stock initial]]*listeProduits[[#This Row],[Prix unitaire]]</f>
        <v>900</v>
      </c>
      <c r="K19" s="2"/>
    </row>
    <row r="20" spans="1:11" ht="18" customHeight="1">
      <c r="A20" s="6"/>
      <c r="B20" s="2"/>
      <c r="C20" s="35" t="s">
        <v>39</v>
      </c>
      <c r="D20" s="35" t="s">
        <v>63</v>
      </c>
      <c r="E20" s="35" t="s">
        <v>60</v>
      </c>
      <c r="F20" s="12" t="s">
        <v>32</v>
      </c>
      <c r="G20" s="14">
        <v>10</v>
      </c>
      <c r="H20" s="14">
        <v>3</v>
      </c>
      <c r="I20" s="41">
        <v>300</v>
      </c>
      <c r="J20" s="41">
        <f>listeProduits[[#This Row],[Stock initial]]*listeProduits[[#This Row],[Prix unitaire]]</f>
        <v>900</v>
      </c>
      <c r="K20" s="2"/>
    </row>
    <row r="21" spans="1:11" ht="18" customHeight="1">
      <c r="A21" s="6"/>
      <c r="B21" s="2"/>
      <c r="C21" s="35" t="s">
        <v>38</v>
      </c>
      <c r="D21" s="35" t="s">
        <v>64</v>
      </c>
      <c r="E21" s="35" t="s">
        <v>60</v>
      </c>
      <c r="F21" s="12" t="s">
        <v>32</v>
      </c>
      <c r="G21" s="14">
        <v>10</v>
      </c>
      <c r="H21" s="14">
        <v>5</v>
      </c>
      <c r="I21" s="41">
        <v>700</v>
      </c>
      <c r="J21" s="41">
        <f>listeProduits[[#This Row],[Stock initial]]*listeProduits[[#This Row],[Prix unitaire]]</f>
        <v>3500</v>
      </c>
      <c r="K21" s="2"/>
    </row>
    <row r="22" spans="1:11" ht="18" customHeight="1">
      <c r="A22" s="6"/>
      <c r="B22" s="2"/>
      <c r="C22" s="12" t="s">
        <v>52</v>
      </c>
      <c r="D22" s="12" t="s">
        <v>51</v>
      </c>
      <c r="E22" s="12" t="s">
        <v>58</v>
      </c>
      <c r="F22" s="12" t="s">
        <v>32</v>
      </c>
      <c r="G22" s="14">
        <v>10</v>
      </c>
      <c r="H22" s="14">
        <v>20</v>
      </c>
      <c r="I22" s="13">
        <v>600</v>
      </c>
      <c r="J22" s="13">
        <f>listeProduits[[#This Row],[Stock initial]]*listeProduits[[#This Row],[Prix unitaire]]</f>
        <v>12000</v>
      </c>
      <c r="K22" s="2"/>
    </row>
    <row r="23" spans="1:11" ht="18" customHeight="1">
      <c r="A23" s="6"/>
      <c r="B23" s="2"/>
      <c r="C23" s="12" t="s">
        <v>54</v>
      </c>
      <c r="D23" s="12" t="s">
        <v>18</v>
      </c>
      <c r="E23" s="12" t="s">
        <v>19</v>
      </c>
      <c r="F23" s="12" t="s">
        <v>20</v>
      </c>
      <c r="G23" s="14">
        <v>10</v>
      </c>
      <c r="H23" s="14">
        <v>10</v>
      </c>
      <c r="I23" s="13">
        <v>0.2</v>
      </c>
      <c r="J23" s="13">
        <f>listeProduits[[#This Row],[Stock initial]]*listeProduits[[#This Row],[Prix unitaire]]</f>
        <v>2</v>
      </c>
      <c r="K23" s="2"/>
    </row>
    <row r="24" spans="1:11" ht="18" customHeight="1">
      <c r="A24" s="6"/>
      <c r="B24" s="2"/>
      <c r="C24" s="12" t="s">
        <v>55</v>
      </c>
      <c r="D24" s="12" t="s">
        <v>18</v>
      </c>
      <c r="E24" s="12" t="s">
        <v>19</v>
      </c>
      <c r="F24" s="12" t="s">
        <v>21</v>
      </c>
      <c r="G24" s="14">
        <v>50</v>
      </c>
      <c r="H24" s="14">
        <v>15</v>
      </c>
      <c r="I24" s="13">
        <v>2</v>
      </c>
      <c r="J24" s="13">
        <f>listeProduits[[#This Row],[Stock initial]]*listeProduits[[#This Row],[Prix unitaire]]</f>
        <v>30</v>
      </c>
      <c r="K24" s="2"/>
    </row>
    <row r="25" spans="1:11" ht="18" customHeight="1">
      <c r="B25" s="2"/>
      <c r="C25" s="12" t="s">
        <v>56</v>
      </c>
      <c r="D25" s="12" t="s">
        <v>18</v>
      </c>
      <c r="E25" s="12" t="s">
        <v>19</v>
      </c>
      <c r="F25" s="12" t="s">
        <v>22</v>
      </c>
      <c r="G25" s="14">
        <v>20</v>
      </c>
      <c r="H25" s="14">
        <v>5</v>
      </c>
      <c r="I25" s="13">
        <v>4</v>
      </c>
      <c r="J25" s="13">
        <f>listeProduits[[#This Row],[Stock initial]]*listeProduits[[#This Row],[Prix unitaire]]</f>
        <v>20</v>
      </c>
      <c r="K25" s="2"/>
    </row>
    <row r="26" spans="1:11" ht="18" customHeight="1">
      <c r="B26" s="2"/>
      <c r="C26" s="2"/>
      <c r="D26" s="2"/>
      <c r="E26" s="2"/>
      <c r="F26" s="2"/>
      <c r="G26" s="2"/>
      <c r="H26" s="2"/>
      <c r="I26" s="2"/>
      <c r="J26" s="2"/>
    </row>
    <row r="27" spans="1:11" ht="18" customHeight="1">
      <c r="B27" s="2"/>
      <c r="C27" s="2"/>
      <c r="D27" s="2"/>
      <c r="E27" s="2"/>
      <c r="F27" s="2"/>
      <c r="G27" s="2"/>
      <c r="H27" s="2"/>
      <c r="I27" s="2"/>
      <c r="J27" s="2"/>
    </row>
    <row r="28" spans="1:11" ht="18" customHeight="1"/>
    <row r="29" spans="1:11" ht="19.899999999999999" customHeight="1"/>
    <row r="31" spans="1:11">
      <c r="E31" s="45"/>
    </row>
  </sheetData>
  <mergeCells count="3">
    <mergeCell ref="C3:E3"/>
    <mergeCell ref="C4:D4"/>
    <mergeCell ref="C12:E12"/>
  </mergeCells>
  <phoneticPr fontId="14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92AC8-F035-438D-A7A5-F051E69E3753}">
  <sheetPr codeName="Feuil1"/>
  <dimension ref="A1:X392"/>
  <sheetViews>
    <sheetView showGridLines="0" tabSelected="1" zoomScale="69" zoomScaleNormal="96" workbookViewId="0">
      <selection activeCell="U1" sqref="U1"/>
    </sheetView>
  </sheetViews>
  <sheetFormatPr baseColWidth="10" defaultRowHeight="15"/>
  <cols>
    <col min="3" max="3" width="11.42578125" customWidth="1"/>
    <col min="21" max="21" width="22.140625" bestFit="1" customWidth="1"/>
  </cols>
  <sheetData>
    <row r="1" spans="1:24" ht="32.25" customHeight="1"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56" t="e" vm="1">
        <v>#VALUE!</v>
      </c>
      <c r="R1" s="58" t="s">
        <v>86</v>
      </c>
      <c r="S1" s="57"/>
      <c r="T1" s="57"/>
      <c r="U1" s="59"/>
      <c r="V1" s="48"/>
      <c r="W1" s="48"/>
      <c r="X1" s="48"/>
    </row>
    <row r="2" spans="1:24"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</row>
    <row r="3" spans="1:24">
      <c r="A3" t="e" vm="2">
        <v>#VALUE!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</row>
    <row r="4" spans="1:24"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</row>
    <row r="5" spans="1:24"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</row>
    <row r="6" spans="1:24"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</row>
    <row r="7" spans="1:24"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</row>
    <row r="8" spans="1:24"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</row>
    <row r="9" spans="1:24"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</row>
    <row r="10" spans="1:24"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</row>
    <row r="11" spans="1:24"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</row>
    <row r="12" spans="1:24"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</row>
    <row r="13" spans="1:24"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</row>
    <row r="14" spans="1:24"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</row>
    <row r="15" spans="1:24"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</row>
    <row r="16" spans="1:24"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</row>
    <row r="17" spans="4:24"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</row>
    <row r="18" spans="4:24"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</row>
    <row r="19" spans="4:24"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</row>
    <row r="20" spans="4:24"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</row>
    <row r="21" spans="4:24"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</row>
    <row r="22" spans="4:24"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</row>
    <row r="23" spans="4:24"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</row>
    <row r="24" spans="4:24"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</row>
    <row r="25" spans="4:24"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</row>
    <row r="26" spans="4:24"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</row>
    <row r="27" spans="4:24"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</row>
    <row r="28" spans="4:24"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</row>
    <row r="29" spans="4:24"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</row>
    <row r="30" spans="4:24"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</row>
    <row r="31" spans="4:24"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</row>
    <row r="32" spans="4:24"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</row>
    <row r="33" spans="4:24"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</row>
    <row r="34" spans="4:24"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</row>
    <row r="35" spans="4:24"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</row>
    <row r="36" spans="4:24"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</row>
    <row r="37" spans="4:24"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</row>
    <row r="38" spans="4:24"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</row>
    <row r="39" spans="4:24"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</row>
    <row r="40" spans="4:24"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</row>
    <row r="41" spans="4:24"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</row>
    <row r="42" spans="4:24"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</row>
    <row r="43" spans="4:24"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</row>
    <row r="44" spans="4:24"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</row>
    <row r="45" spans="4:24"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</row>
    <row r="46" spans="4:24"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</row>
    <row r="47" spans="4:24"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</row>
    <row r="48" spans="4:24"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</row>
    <row r="49" spans="4:24"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</row>
    <row r="50" spans="4:24"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</row>
    <row r="51" spans="4:24"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</row>
    <row r="52" spans="4:24"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</row>
    <row r="53" spans="4:24"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</row>
    <row r="54" spans="4:24"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</row>
    <row r="55" spans="4:24"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</row>
    <row r="56" spans="4:24"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</row>
    <row r="57" spans="4:24"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</row>
    <row r="58" spans="4:24"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</row>
    <row r="59" spans="4:24"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</row>
    <row r="60" spans="4:24"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</row>
    <row r="61" spans="4:24"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</row>
    <row r="62" spans="4:24"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</row>
    <row r="63" spans="4:24"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</row>
    <row r="64" spans="4:24"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</row>
    <row r="65" spans="4:24"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</row>
    <row r="66" spans="4:24"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</row>
    <row r="67" spans="4:24"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</row>
    <row r="68" spans="4:24"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</row>
    <row r="69" spans="4:24"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</row>
    <row r="70" spans="4:24"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</row>
    <row r="71" spans="4:24"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</row>
    <row r="72" spans="4:24"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</row>
    <row r="73" spans="4:24"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</row>
    <row r="74" spans="4:24"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</row>
    <row r="75" spans="4:24"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</row>
    <row r="76" spans="4:24"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</row>
    <row r="77" spans="4:24"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</row>
    <row r="78" spans="4:24"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</row>
    <row r="79" spans="4:24"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</row>
    <row r="80" spans="4:24"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</row>
    <row r="81" spans="4:23"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</row>
    <row r="82" spans="4:23"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</row>
    <row r="83" spans="4:23"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</row>
    <row r="84" spans="4:23"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</row>
    <row r="85" spans="4:23"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</row>
    <row r="86" spans="4:23"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</row>
    <row r="87" spans="4:23"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</row>
    <row r="88" spans="4:23"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</row>
    <row r="89" spans="4:23"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</row>
    <row r="90" spans="4:23"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</row>
    <row r="91" spans="4:23"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</row>
    <row r="92" spans="4:23"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</row>
    <row r="93" spans="4:23"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</row>
    <row r="94" spans="4:23"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</row>
    <row r="95" spans="4:23"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</row>
    <row r="96" spans="4:23"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</row>
    <row r="97" spans="4:23"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</row>
    <row r="98" spans="4:23"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</row>
    <row r="99" spans="4:23"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</row>
    <row r="100" spans="4:23"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</row>
    <row r="101" spans="4:23"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</row>
    <row r="102" spans="4:23"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</row>
    <row r="103" spans="4:23"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</row>
    <row r="104" spans="4:23"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</row>
    <row r="105" spans="4:23"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</row>
    <row r="106" spans="4:23"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</row>
    <row r="107" spans="4:23"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</row>
    <row r="108" spans="4:23"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</row>
    <row r="109" spans="4:23"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</row>
    <row r="110" spans="4:23"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</row>
    <row r="111" spans="4:23"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</row>
    <row r="112" spans="4:23"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</row>
    <row r="113" spans="4:23"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</row>
    <row r="114" spans="4:23"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</row>
    <row r="115" spans="4:23"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</row>
    <row r="116" spans="4:23"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</row>
    <row r="117" spans="4:23"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</row>
    <row r="118" spans="4:23"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</row>
    <row r="119" spans="4:23"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</row>
    <row r="120" spans="4:23"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</row>
    <row r="121" spans="4:23"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</row>
    <row r="122" spans="4:23"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</row>
    <row r="123" spans="4:23"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</row>
    <row r="124" spans="4:23"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</row>
    <row r="125" spans="4:23"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</row>
    <row r="126" spans="4:23"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</row>
    <row r="127" spans="4:23"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</row>
    <row r="128" spans="4:23"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</row>
    <row r="129" spans="4:23"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</row>
    <row r="130" spans="4:23"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</row>
    <row r="131" spans="4:23"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</row>
    <row r="132" spans="4:23"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</row>
    <row r="133" spans="4:23"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</row>
    <row r="134" spans="4:23"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</row>
    <row r="135" spans="4:23"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</row>
    <row r="136" spans="4:23"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</row>
    <row r="137" spans="4:23"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</row>
    <row r="138" spans="4:23"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</row>
    <row r="139" spans="4:23"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</row>
    <row r="140" spans="4:23"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</row>
    <row r="141" spans="4:23"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</row>
    <row r="142" spans="4:23"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</row>
    <row r="143" spans="4:23"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</row>
    <row r="144" spans="4:23"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</row>
    <row r="145" spans="4:23"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</row>
    <row r="146" spans="4:23"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</row>
    <row r="147" spans="4:23"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</row>
    <row r="148" spans="4:23"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</row>
    <row r="149" spans="4:23"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</row>
    <row r="150" spans="4:23"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</row>
    <row r="151" spans="4:23"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</row>
    <row r="152" spans="4:23"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</row>
    <row r="153" spans="4:23"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</row>
    <row r="154" spans="4:23"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</row>
    <row r="155" spans="4:23"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</row>
    <row r="156" spans="4:23"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</row>
    <row r="157" spans="4:23"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</row>
    <row r="158" spans="4:23"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</row>
    <row r="159" spans="4:23"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</row>
    <row r="160" spans="4:23"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</row>
    <row r="161" spans="4:23"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</row>
    <row r="162" spans="4:23"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</row>
    <row r="163" spans="4:23"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</row>
    <row r="164" spans="4:23"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</row>
    <row r="165" spans="4:23"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</row>
    <row r="166" spans="4:23"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</row>
    <row r="167" spans="4:23"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</row>
    <row r="168" spans="4:23"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</row>
    <row r="169" spans="4:23"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</row>
    <row r="170" spans="4:23"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</row>
    <row r="171" spans="4:23"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</row>
    <row r="172" spans="4:23"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</row>
    <row r="173" spans="4:23"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</row>
    <row r="174" spans="4:23"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</row>
    <row r="175" spans="4:23"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</row>
    <row r="176" spans="4:23"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</row>
    <row r="177" spans="4:23"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</row>
    <row r="178" spans="4:23"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</row>
    <row r="179" spans="4:23"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</row>
    <row r="180" spans="4:23"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</row>
    <row r="181" spans="4:23"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</row>
    <row r="182" spans="4:23"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</row>
    <row r="183" spans="4:23"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</row>
    <row r="184" spans="4:23"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</row>
    <row r="185" spans="4:23"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</row>
    <row r="186" spans="4:23"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</row>
    <row r="187" spans="4:23"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</row>
    <row r="188" spans="4:23"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</row>
    <row r="189" spans="4:23"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</row>
    <row r="190" spans="4:23"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</row>
    <row r="191" spans="4:23"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</row>
    <row r="192" spans="4:23"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</row>
    <row r="193" spans="4:23"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</row>
    <row r="194" spans="4:23"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</row>
    <row r="195" spans="4:23"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</row>
    <row r="196" spans="4:23"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</row>
    <row r="197" spans="4:23"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</row>
    <row r="198" spans="4:23"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</row>
    <row r="199" spans="4:23"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</row>
    <row r="200" spans="4:23"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</row>
    <row r="201" spans="4:23"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</row>
    <row r="202" spans="4:23"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</row>
    <row r="203" spans="4:23"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</row>
    <row r="204" spans="4:23"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</row>
    <row r="205" spans="4:23"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</row>
    <row r="206" spans="4:23"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</row>
    <row r="207" spans="4:23"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</row>
    <row r="208" spans="4:23"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</row>
    <row r="209" spans="4:23"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</row>
    <row r="210" spans="4:23"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</row>
    <row r="211" spans="4:23"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</row>
    <row r="212" spans="4:23"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</row>
    <row r="213" spans="4:23"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</row>
    <row r="214" spans="4:23"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</row>
    <row r="215" spans="4:23"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</row>
    <row r="216" spans="4:23"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</row>
    <row r="217" spans="4:23"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</row>
    <row r="218" spans="4:23"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</row>
    <row r="219" spans="4:23"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</row>
    <row r="220" spans="4:23"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</row>
    <row r="221" spans="4:23"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</row>
    <row r="222" spans="4:23"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</row>
    <row r="223" spans="4:23"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</row>
    <row r="224" spans="4:23"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</row>
    <row r="225" spans="4:23"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</row>
    <row r="226" spans="4:23"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</row>
    <row r="227" spans="4:23"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</row>
    <row r="228" spans="4:23"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</row>
    <row r="229" spans="4:23"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</row>
    <row r="230" spans="4:23"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</row>
    <row r="231" spans="4:23"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</row>
    <row r="232" spans="4:23"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</row>
    <row r="233" spans="4:23"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</row>
    <row r="234" spans="4:23"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</row>
    <row r="235" spans="4:23"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</row>
    <row r="236" spans="4:23"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</row>
    <row r="237" spans="4:23"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</row>
    <row r="238" spans="4:23"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</row>
    <row r="239" spans="4:23"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</row>
    <row r="240" spans="4:23"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</row>
    <row r="241" spans="4:23"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</row>
    <row r="242" spans="4:23"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</row>
    <row r="243" spans="4:23"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</row>
    <row r="244" spans="4:23"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</row>
    <row r="245" spans="4:23"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</row>
    <row r="246" spans="4:23"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</row>
    <row r="247" spans="4:23"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</row>
    <row r="248" spans="4:23"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</row>
    <row r="249" spans="4:23"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</row>
    <row r="250" spans="4:23"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</row>
    <row r="251" spans="4:23"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</row>
    <row r="252" spans="4:23"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</row>
    <row r="253" spans="4:23"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</row>
    <row r="254" spans="4:23"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</row>
    <row r="255" spans="4:23"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</row>
    <row r="256" spans="4:23"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</row>
    <row r="257" spans="4:23"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</row>
    <row r="258" spans="4:23"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</row>
    <row r="259" spans="4:23"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</row>
    <row r="260" spans="4:23"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</row>
    <row r="261" spans="4:23"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</row>
    <row r="262" spans="4:23"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</row>
    <row r="263" spans="4:23"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</row>
    <row r="264" spans="4:23"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</row>
    <row r="265" spans="4:23"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</row>
    <row r="266" spans="4:23"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</row>
    <row r="267" spans="4:23"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</row>
    <row r="268" spans="4:23"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</row>
    <row r="269" spans="4:23"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</row>
    <row r="270" spans="4:23"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</row>
    <row r="271" spans="4:23"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</row>
    <row r="272" spans="4:23"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</row>
    <row r="273" spans="4:23"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</row>
    <row r="274" spans="4:23"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</row>
    <row r="275" spans="4:23"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</row>
    <row r="276" spans="4:23"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</row>
    <row r="277" spans="4:23"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</row>
    <row r="278" spans="4:23"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</row>
    <row r="279" spans="4:23"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</row>
    <row r="280" spans="4:23"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</row>
    <row r="281" spans="4:23"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</row>
    <row r="282" spans="4:23"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</row>
    <row r="283" spans="4:23"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</row>
    <row r="284" spans="4:23"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</row>
    <row r="285" spans="4:23"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</row>
    <row r="286" spans="4:23"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</row>
    <row r="287" spans="4:23"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</row>
    <row r="288" spans="4:23"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</row>
    <row r="289" spans="4:23"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</row>
    <row r="290" spans="4:23"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</row>
    <row r="291" spans="4:23"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</row>
    <row r="292" spans="4:23"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</row>
    <row r="293" spans="4:23"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</row>
    <row r="294" spans="4:23"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</row>
    <row r="295" spans="4:23"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</row>
    <row r="296" spans="4:23"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</row>
    <row r="297" spans="4:23"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</row>
    <row r="298" spans="4:23"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</row>
    <row r="299" spans="4:23"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</row>
    <row r="300" spans="4:23"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</row>
    <row r="301" spans="4:23"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</row>
    <row r="302" spans="4:23"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</row>
    <row r="303" spans="4:23"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</row>
    <row r="304" spans="4:23"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</row>
    <row r="305" spans="4:23"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</row>
    <row r="306" spans="4:23"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</row>
    <row r="307" spans="4:23"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</row>
    <row r="308" spans="4:23"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</row>
    <row r="309" spans="4:23"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</row>
    <row r="310" spans="4:23"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</row>
    <row r="311" spans="4:23"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</row>
    <row r="312" spans="4:23"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</row>
    <row r="313" spans="4:23"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</row>
    <row r="314" spans="4:23"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</row>
    <row r="315" spans="4:23"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</row>
    <row r="316" spans="4:23"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</row>
    <row r="317" spans="4:23"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</row>
    <row r="318" spans="4:23"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</row>
    <row r="319" spans="4:23"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</row>
    <row r="320" spans="4:23"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</row>
    <row r="321" spans="4:23"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</row>
    <row r="322" spans="4:23"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</row>
    <row r="323" spans="4:23"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</row>
    <row r="324" spans="4:23"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</row>
    <row r="325" spans="4:23"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</row>
    <row r="326" spans="4:23"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</row>
    <row r="327" spans="4:23"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</row>
    <row r="328" spans="4:23"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</row>
    <row r="329" spans="4:23"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</row>
    <row r="330" spans="4:23"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</row>
    <row r="331" spans="4:23"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</row>
    <row r="332" spans="4:23"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</row>
    <row r="333" spans="4:23"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</row>
    <row r="334" spans="4:23"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</row>
    <row r="335" spans="4:23"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</row>
    <row r="336" spans="4:23"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</row>
    <row r="337" spans="4:23"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</row>
    <row r="338" spans="4:23"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</row>
    <row r="339" spans="4:23"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</row>
    <row r="340" spans="4:23"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</row>
    <row r="341" spans="4:23"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</row>
    <row r="342" spans="4:23"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</row>
    <row r="343" spans="4:23"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</row>
    <row r="344" spans="4:23"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</row>
    <row r="345" spans="4:23"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</row>
    <row r="346" spans="4:23"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</row>
    <row r="347" spans="4:23"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</row>
    <row r="348" spans="4:23"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</row>
    <row r="349" spans="4:23"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</row>
    <row r="350" spans="4:23"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</row>
    <row r="351" spans="4:23"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</row>
    <row r="352" spans="4:23"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</row>
    <row r="353" spans="4:23"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</row>
    <row r="354" spans="4:23"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</row>
    <row r="355" spans="4:23"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</row>
    <row r="356" spans="4:23"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</row>
    <row r="357" spans="4:23"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</row>
    <row r="358" spans="4:23"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</row>
    <row r="359" spans="4:23"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</row>
    <row r="360" spans="4:23"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</row>
    <row r="361" spans="4:23"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</row>
    <row r="362" spans="4:23"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</row>
    <row r="363" spans="4:23"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</row>
    <row r="364" spans="4:23"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</row>
    <row r="365" spans="4:23"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</row>
    <row r="366" spans="4:23"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</row>
    <row r="367" spans="4:23"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</row>
    <row r="368" spans="4:23"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</row>
    <row r="369" spans="4:23"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</row>
    <row r="370" spans="4:23"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</row>
    <row r="371" spans="4:23"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</row>
    <row r="372" spans="4:23"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</row>
    <row r="373" spans="4:23"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</row>
    <row r="374" spans="4:23"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</row>
    <row r="375" spans="4:23"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</row>
    <row r="376" spans="4:23"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</row>
    <row r="377" spans="4:23"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</row>
    <row r="378" spans="4:23"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</row>
    <row r="379" spans="4:23"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</row>
    <row r="380" spans="4:23"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</row>
    <row r="381" spans="4:23"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</row>
    <row r="382" spans="4:23"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</row>
    <row r="383" spans="4:23"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</row>
    <row r="384" spans="4:23"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</row>
    <row r="385" spans="4:23"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</row>
    <row r="386" spans="4:23"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</row>
    <row r="387" spans="4:23"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</row>
    <row r="388" spans="4:23"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</row>
    <row r="389" spans="4:23"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</row>
    <row r="390" spans="4:23"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</row>
    <row r="391" spans="4:23"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</row>
    <row r="392" spans="4:23"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9D3A-FCC7-40CC-866F-7A34F021AA1E}">
  <sheetPr codeName="Feuil10"/>
  <dimension ref="A1:P67"/>
  <sheetViews>
    <sheetView topLeftCell="B7" zoomScale="115" zoomScaleNormal="115" workbookViewId="0">
      <selection activeCell="Q1" sqref="Q1"/>
    </sheetView>
  </sheetViews>
  <sheetFormatPr baseColWidth="10" defaultColWidth="8.85546875" defaultRowHeight="15"/>
  <cols>
    <col min="1" max="1" width="8.140625" style="1" customWidth="1"/>
    <col min="2" max="2" width="8.7109375" style="1" customWidth="1"/>
    <col min="3" max="3" width="9.42578125" style="1" customWidth="1"/>
    <col min="4" max="4" width="12.7109375" style="1" customWidth="1"/>
    <col min="5" max="5" width="11.5703125" style="1" customWidth="1"/>
    <col min="6" max="6" width="28.28515625" style="1" customWidth="1"/>
    <col min="7" max="7" width="19.85546875" style="1" customWidth="1"/>
    <col min="8" max="8" width="17.85546875" style="1" customWidth="1"/>
    <col min="9" max="9" width="14" style="1" customWidth="1"/>
    <col min="10" max="10" width="10.5703125" style="40" customWidth="1"/>
    <col min="11" max="11" width="21.28515625" style="1" customWidth="1"/>
    <col min="12" max="12" width="8.7109375" style="1" customWidth="1"/>
    <col min="13" max="24" width="12.7109375" style="1" customWidth="1"/>
    <col min="25" max="16384" width="8.85546875" style="1"/>
  </cols>
  <sheetData>
    <row r="1" spans="1:16" ht="22.15" customHeight="1">
      <c r="A1" s="4"/>
      <c r="B1" s="4"/>
      <c r="C1" s="4"/>
      <c r="D1" s="4"/>
      <c r="E1" s="4"/>
      <c r="F1" s="4"/>
      <c r="G1" s="4"/>
      <c r="H1" s="4"/>
      <c r="I1" s="4"/>
      <c r="J1" s="38"/>
      <c r="K1" s="4"/>
      <c r="L1" s="4"/>
      <c r="M1" s="4"/>
      <c r="N1" s="4"/>
      <c r="O1" s="4"/>
      <c r="P1" s="4"/>
    </row>
    <row r="2" spans="1:16" ht="13.9" customHeight="1">
      <c r="A2" s="4"/>
      <c r="B2" s="4"/>
      <c r="C2" s="4"/>
      <c r="D2" s="4"/>
      <c r="E2" s="4"/>
      <c r="F2" s="4"/>
      <c r="G2" s="4"/>
      <c r="H2" s="4"/>
      <c r="I2" s="4"/>
      <c r="J2" s="38"/>
      <c r="K2" s="4"/>
      <c r="L2" s="4"/>
      <c r="M2" s="4"/>
      <c r="N2" s="4"/>
      <c r="O2" s="4"/>
      <c r="P2" s="4"/>
    </row>
    <row r="3" spans="1:16" ht="26.45" customHeight="1">
      <c r="A3" s="5"/>
      <c r="B3" s="2"/>
      <c r="C3" s="61" t="s">
        <v>44</v>
      </c>
      <c r="D3" s="61"/>
      <c r="E3" s="61"/>
      <c r="F3" s="61"/>
      <c r="G3" s="61"/>
      <c r="H3" s="61"/>
      <c r="I3" s="61"/>
      <c r="J3" s="61"/>
      <c r="K3" s="61"/>
      <c r="L3" s="3"/>
      <c r="M3" s="5"/>
      <c r="N3" s="5"/>
      <c r="O3" s="5"/>
      <c r="P3" s="5"/>
    </row>
    <row r="4" spans="1:16" ht="16.899999999999999" customHeight="1">
      <c r="A4" s="5"/>
      <c r="B4" s="2"/>
      <c r="C4" s="60" t="s">
        <v>47</v>
      </c>
      <c r="D4" s="60"/>
      <c r="E4" s="60"/>
      <c r="F4" s="60"/>
      <c r="G4" s="60"/>
      <c r="H4" s="60"/>
      <c r="I4" s="60"/>
      <c r="J4" s="60"/>
      <c r="K4" s="11"/>
      <c r="L4" s="11"/>
      <c r="M4" s="5"/>
      <c r="N4" s="5"/>
      <c r="O4" s="5"/>
      <c r="P4" s="5"/>
    </row>
    <row r="5" spans="1:16">
      <c r="B5" s="2"/>
      <c r="C5" s="2"/>
      <c r="D5" s="2"/>
      <c r="E5" s="2"/>
      <c r="F5" s="2"/>
      <c r="G5" s="2"/>
      <c r="H5" s="2"/>
      <c r="I5" s="2"/>
      <c r="J5" s="39"/>
      <c r="K5" s="2"/>
      <c r="L5" s="3"/>
    </row>
    <row r="6" spans="1:16" ht="18" customHeight="1">
      <c r="A6" s="6"/>
      <c r="B6" s="2"/>
      <c r="C6" s="10" t="s">
        <v>7</v>
      </c>
      <c r="D6" s="10" t="s">
        <v>2</v>
      </c>
      <c r="E6" s="10" t="s">
        <v>14</v>
      </c>
      <c r="F6" s="10" t="s">
        <v>0</v>
      </c>
      <c r="G6" s="10" t="s">
        <v>15</v>
      </c>
      <c r="H6" s="10" t="s">
        <v>8</v>
      </c>
      <c r="I6" s="10" t="s">
        <v>57</v>
      </c>
      <c r="J6" s="10" t="s">
        <v>1</v>
      </c>
      <c r="K6" s="10" t="s">
        <v>6</v>
      </c>
      <c r="L6" s="2"/>
    </row>
    <row r="7" spans="1:16" ht="18" customHeight="1">
      <c r="A7" s="6"/>
      <c r="B7" s="2"/>
      <c r="C7" s="14">
        <f>C8+1</f>
        <v>57</v>
      </c>
      <c r="D7" s="15">
        <v>44698</v>
      </c>
      <c r="E7" s="35" t="s">
        <v>55</v>
      </c>
      <c r="F7" s="35" t="s">
        <v>18</v>
      </c>
      <c r="G7" s="35" t="s">
        <v>19</v>
      </c>
      <c r="H7" s="35" t="s">
        <v>21</v>
      </c>
      <c r="I7" s="36">
        <v>2</v>
      </c>
      <c r="J7" s="37">
        <v>25</v>
      </c>
      <c r="K7" s="41">
        <f>listeAchats[[#This Row],[Coût d''achat]]*listeAchats[[#This Row],[Quantité]]</f>
        <v>50</v>
      </c>
      <c r="L7" s="2"/>
    </row>
    <row r="8" spans="1:16" ht="18" customHeight="1">
      <c r="A8" s="6"/>
      <c r="B8" s="2"/>
      <c r="C8" s="14">
        <f>C9+1</f>
        <v>56</v>
      </c>
      <c r="D8" s="15">
        <v>44698</v>
      </c>
      <c r="E8" s="35" t="s">
        <v>38</v>
      </c>
      <c r="F8" s="35" t="s">
        <v>64</v>
      </c>
      <c r="G8" s="35" t="s">
        <v>60</v>
      </c>
      <c r="H8" s="35" t="s">
        <v>32</v>
      </c>
      <c r="I8" s="36">
        <v>700</v>
      </c>
      <c r="J8" s="37">
        <v>5</v>
      </c>
      <c r="K8" s="41">
        <f>listeAchats[[#This Row],[Coût d''achat]]*listeAchats[[#This Row],[Quantité]]</f>
        <v>3500</v>
      </c>
      <c r="L8" s="2"/>
    </row>
    <row r="9" spans="1:16" ht="18" customHeight="1">
      <c r="A9" s="6"/>
      <c r="B9" s="2"/>
      <c r="C9" s="14">
        <f t="shared" ref="C9:C40" si="0">C10+1</f>
        <v>55</v>
      </c>
      <c r="D9" s="15">
        <v>44686</v>
      </c>
      <c r="E9" s="35" t="s">
        <v>41</v>
      </c>
      <c r="F9" s="35" t="s">
        <v>61</v>
      </c>
      <c r="G9" s="35" t="s">
        <v>60</v>
      </c>
      <c r="H9" s="35" t="s">
        <v>32</v>
      </c>
      <c r="I9" s="36">
        <v>500</v>
      </c>
      <c r="J9" s="37">
        <v>10</v>
      </c>
      <c r="K9" s="41">
        <f>listeAchats[[#This Row],[Coût d''achat]]*listeAchats[[#This Row],[Quantité]]</f>
        <v>5000</v>
      </c>
      <c r="L9" s="2"/>
    </row>
    <row r="10" spans="1:16" ht="18" customHeight="1">
      <c r="A10" s="6"/>
      <c r="B10" s="2"/>
      <c r="C10" s="14">
        <f t="shared" si="0"/>
        <v>54</v>
      </c>
      <c r="D10" s="15">
        <v>44656</v>
      </c>
      <c r="E10" s="35" t="s">
        <v>41</v>
      </c>
      <c r="F10" s="35" t="s">
        <v>61</v>
      </c>
      <c r="G10" s="35" t="s">
        <v>60</v>
      </c>
      <c r="H10" s="35" t="s">
        <v>32</v>
      </c>
      <c r="I10" s="36">
        <v>500</v>
      </c>
      <c r="J10" s="37">
        <v>10</v>
      </c>
      <c r="K10" s="41">
        <f>listeAchats[[#This Row],[Coût d''achat]]*listeAchats[[#This Row],[Quantité]]</f>
        <v>5000</v>
      </c>
      <c r="L10" s="2"/>
    </row>
    <row r="11" spans="1:16" ht="18" customHeight="1">
      <c r="A11" s="6"/>
      <c r="B11" s="2"/>
      <c r="C11" s="14">
        <f t="shared" si="0"/>
        <v>53</v>
      </c>
      <c r="D11" s="15">
        <v>44623</v>
      </c>
      <c r="E11" s="35" t="s">
        <v>41</v>
      </c>
      <c r="F11" s="35" t="s">
        <v>61</v>
      </c>
      <c r="G11" s="35" t="s">
        <v>60</v>
      </c>
      <c r="H11" s="35" t="s">
        <v>32</v>
      </c>
      <c r="I11" s="36">
        <v>500</v>
      </c>
      <c r="J11" s="37">
        <v>10</v>
      </c>
      <c r="K11" s="41">
        <f>listeAchats[[#This Row],[Coût d''achat]]*listeAchats[[#This Row],[Quantité]]</f>
        <v>5000</v>
      </c>
      <c r="L11" s="2"/>
    </row>
    <row r="12" spans="1:16" ht="18" customHeight="1">
      <c r="A12" s="6"/>
      <c r="B12" s="2"/>
      <c r="C12" s="14">
        <f t="shared" si="0"/>
        <v>52</v>
      </c>
      <c r="D12" s="15">
        <v>44595</v>
      </c>
      <c r="E12" s="35" t="s">
        <v>41</v>
      </c>
      <c r="F12" s="35" t="s">
        <v>61</v>
      </c>
      <c r="G12" s="35" t="s">
        <v>60</v>
      </c>
      <c r="H12" s="35" t="s">
        <v>32</v>
      </c>
      <c r="I12" s="36">
        <v>500</v>
      </c>
      <c r="J12" s="37">
        <v>10</v>
      </c>
      <c r="K12" s="41">
        <f>listeAchats[[#This Row],[Coût d''achat]]*listeAchats[[#This Row],[Quantité]]</f>
        <v>5000</v>
      </c>
      <c r="L12" s="2"/>
    </row>
    <row r="13" spans="1:16" ht="18" customHeight="1">
      <c r="A13" s="6"/>
      <c r="B13" s="2"/>
      <c r="C13" s="14">
        <f t="shared" si="0"/>
        <v>51</v>
      </c>
      <c r="D13" s="15">
        <v>44581</v>
      </c>
      <c r="E13" s="35" t="s">
        <v>41</v>
      </c>
      <c r="F13" s="35" t="s">
        <v>61</v>
      </c>
      <c r="G13" s="35" t="s">
        <v>60</v>
      </c>
      <c r="H13" s="35" t="s">
        <v>32</v>
      </c>
      <c r="I13" s="36">
        <v>500</v>
      </c>
      <c r="J13" s="37">
        <v>20</v>
      </c>
      <c r="K13" s="41">
        <f>listeAchats[[#This Row],[Coût d''achat]]*listeAchats[[#This Row],[Quantité]]</f>
        <v>10000</v>
      </c>
      <c r="L13" s="2"/>
    </row>
    <row r="14" spans="1:16" ht="18" customHeight="1">
      <c r="A14" s="6"/>
      <c r="B14" s="2"/>
      <c r="C14" s="14">
        <f t="shared" si="0"/>
        <v>50</v>
      </c>
      <c r="D14" s="15">
        <v>44685</v>
      </c>
      <c r="E14" s="35" t="s">
        <v>40</v>
      </c>
      <c r="F14" s="35" t="s">
        <v>62</v>
      </c>
      <c r="G14" s="35" t="s">
        <v>60</v>
      </c>
      <c r="H14" s="35" t="s">
        <v>32</v>
      </c>
      <c r="I14" s="36">
        <v>150</v>
      </c>
      <c r="J14" s="37">
        <v>5</v>
      </c>
      <c r="K14" s="41">
        <f>listeAchats[[#This Row],[Coût d''achat]]*listeAchats[[#This Row],[Quantité]]</f>
        <v>750</v>
      </c>
      <c r="L14" s="2"/>
    </row>
    <row r="15" spans="1:16" ht="18" customHeight="1">
      <c r="A15" s="6"/>
      <c r="B15" s="2"/>
      <c r="C15" s="14">
        <f t="shared" si="0"/>
        <v>49</v>
      </c>
      <c r="D15" s="15">
        <v>44655</v>
      </c>
      <c r="E15" s="35" t="s">
        <v>40</v>
      </c>
      <c r="F15" s="35" t="s">
        <v>62</v>
      </c>
      <c r="G15" s="35" t="s">
        <v>60</v>
      </c>
      <c r="H15" s="35" t="s">
        <v>32</v>
      </c>
      <c r="I15" s="36">
        <v>150</v>
      </c>
      <c r="J15" s="37">
        <v>10</v>
      </c>
      <c r="K15" s="41">
        <f>listeAchats[[#This Row],[Coût d''achat]]*listeAchats[[#This Row],[Quantité]]</f>
        <v>1500</v>
      </c>
      <c r="L15" s="2"/>
    </row>
    <row r="16" spans="1:16" ht="18" customHeight="1">
      <c r="A16" s="6"/>
      <c r="B16" s="2"/>
      <c r="C16" s="14">
        <f t="shared" si="0"/>
        <v>48</v>
      </c>
      <c r="D16" s="15">
        <v>44623</v>
      </c>
      <c r="E16" s="35" t="s">
        <v>40</v>
      </c>
      <c r="F16" s="35" t="s">
        <v>62</v>
      </c>
      <c r="G16" s="35" t="s">
        <v>60</v>
      </c>
      <c r="H16" s="35" t="s">
        <v>32</v>
      </c>
      <c r="I16" s="36">
        <v>150</v>
      </c>
      <c r="J16" s="37">
        <v>20</v>
      </c>
      <c r="K16" s="41">
        <f>listeAchats[[#This Row],[Coût d''achat]]*listeAchats[[#This Row],[Quantité]]</f>
        <v>3000</v>
      </c>
      <c r="L16" s="2"/>
    </row>
    <row r="17" spans="1:12" ht="18" customHeight="1">
      <c r="A17" s="6"/>
      <c r="B17" s="2"/>
      <c r="C17" s="14">
        <f t="shared" si="0"/>
        <v>47</v>
      </c>
      <c r="D17" s="15">
        <v>44594</v>
      </c>
      <c r="E17" s="35" t="s">
        <v>40</v>
      </c>
      <c r="F17" s="35" t="s">
        <v>62</v>
      </c>
      <c r="G17" s="35" t="s">
        <v>60</v>
      </c>
      <c r="H17" s="35" t="s">
        <v>32</v>
      </c>
      <c r="I17" s="36">
        <v>150</v>
      </c>
      <c r="J17" s="37">
        <v>10</v>
      </c>
      <c r="K17" s="41">
        <f>listeAchats[[#This Row],[Coût d''achat]]*listeAchats[[#This Row],[Quantité]]</f>
        <v>1500</v>
      </c>
      <c r="L17" s="2"/>
    </row>
    <row r="18" spans="1:12" ht="18" customHeight="1">
      <c r="A18" s="6"/>
      <c r="B18" s="2"/>
      <c r="C18" s="14">
        <f t="shared" si="0"/>
        <v>46</v>
      </c>
      <c r="D18" s="15">
        <v>44562</v>
      </c>
      <c r="E18" s="35" t="s">
        <v>40</v>
      </c>
      <c r="F18" s="35" t="s">
        <v>62</v>
      </c>
      <c r="G18" s="35" t="s">
        <v>60</v>
      </c>
      <c r="H18" s="35" t="s">
        <v>32</v>
      </c>
      <c r="I18" s="36">
        <v>150</v>
      </c>
      <c r="J18" s="37">
        <v>20</v>
      </c>
      <c r="K18" s="41">
        <f>listeAchats[[#This Row],[Coût d''achat]]*listeAchats[[#This Row],[Quantité]]</f>
        <v>3000</v>
      </c>
      <c r="L18" s="2"/>
    </row>
    <row r="19" spans="1:12" ht="18" customHeight="1">
      <c r="A19" s="6"/>
      <c r="B19" s="2"/>
      <c r="C19" s="14">
        <f t="shared" si="0"/>
        <v>45</v>
      </c>
      <c r="D19" s="15">
        <v>44690</v>
      </c>
      <c r="E19" s="35" t="s">
        <v>39</v>
      </c>
      <c r="F19" s="35" t="s">
        <v>63</v>
      </c>
      <c r="G19" s="35" t="s">
        <v>60</v>
      </c>
      <c r="H19" s="35" t="s">
        <v>32</v>
      </c>
      <c r="I19" s="36">
        <v>300</v>
      </c>
      <c r="J19" s="37">
        <v>4</v>
      </c>
      <c r="K19" s="41">
        <f>listeAchats[[#This Row],[Coût d''achat]]*listeAchats[[#This Row],[Quantité]]</f>
        <v>1200</v>
      </c>
      <c r="L19" s="2"/>
    </row>
    <row r="20" spans="1:12" ht="18" customHeight="1">
      <c r="A20" s="6"/>
      <c r="B20" s="2"/>
      <c r="C20" s="14">
        <f t="shared" si="0"/>
        <v>44</v>
      </c>
      <c r="D20" s="15">
        <v>44655</v>
      </c>
      <c r="E20" s="35" t="s">
        <v>39</v>
      </c>
      <c r="F20" s="35" t="s">
        <v>63</v>
      </c>
      <c r="G20" s="35" t="s">
        <v>60</v>
      </c>
      <c r="H20" s="35" t="s">
        <v>32</v>
      </c>
      <c r="I20" s="36">
        <v>300</v>
      </c>
      <c r="J20" s="37">
        <v>4</v>
      </c>
      <c r="K20" s="41">
        <f>listeAchats[[#This Row],[Coût d''achat]]*listeAchats[[#This Row],[Quantité]]</f>
        <v>1200</v>
      </c>
      <c r="L20" s="2"/>
    </row>
    <row r="21" spans="1:12" ht="18" customHeight="1">
      <c r="A21" s="6"/>
      <c r="B21" s="2"/>
      <c r="C21" s="14">
        <f t="shared" si="0"/>
        <v>43</v>
      </c>
      <c r="D21" s="15">
        <v>44626</v>
      </c>
      <c r="E21" s="35" t="s">
        <v>39</v>
      </c>
      <c r="F21" s="35" t="s">
        <v>63</v>
      </c>
      <c r="G21" s="35" t="s">
        <v>60</v>
      </c>
      <c r="H21" s="35" t="s">
        <v>32</v>
      </c>
      <c r="I21" s="36">
        <v>300</v>
      </c>
      <c r="J21" s="37">
        <v>2</v>
      </c>
      <c r="K21" s="41">
        <f>listeAchats[[#This Row],[Coût d''achat]]*listeAchats[[#This Row],[Quantité]]</f>
        <v>600</v>
      </c>
      <c r="L21" s="2"/>
    </row>
    <row r="22" spans="1:12" ht="18" customHeight="1">
      <c r="A22" s="6"/>
      <c r="B22" s="2"/>
      <c r="C22" s="14">
        <f t="shared" si="0"/>
        <v>42</v>
      </c>
      <c r="D22" s="15">
        <v>44607</v>
      </c>
      <c r="E22" s="35" t="s">
        <v>39</v>
      </c>
      <c r="F22" s="35" t="s">
        <v>63</v>
      </c>
      <c r="G22" s="35" t="s">
        <v>60</v>
      </c>
      <c r="H22" s="35" t="s">
        <v>32</v>
      </c>
      <c r="I22" s="36">
        <v>300</v>
      </c>
      <c r="J22" s="37">
        <v>10</v>
      </c>
      <c r="K22" s="41">
        <f>listeAchats[[#This Row],[Coût d''achat]]*listeAchats[[#This Row],[Quantité]]</f>
        <v>3000</v>
      </c>
      <c r="L22" s="2"/>
    </row>
    <row r="23" spans="1:12" ht="18" customHeight="1">
      <c r="A23" s="6"/>
      <c r="B23" s="2"/>
      <c r="C23" s="14">
        <f t="shared" si="0"/>
        <v>41</v>
      </c>
      <c r="D23" s="15">
        <v>44577</v>
      </c>
      <c r="E23" s="35" t="s">
        <v>39</v>
      </c>
      <c r="F23" s="35" t="s">
        <v>63</v>
      </c>
      <c r="G23" s="35" t="s">
        <v>60</v>
      </c>
      <c r="H23" s="35" t="s">
        <v>32</v>
      </c>
      <c r="I23" s="36">
        <v>300</v>
      </c>
      <c r="J23" s="37">
        <v>20</v>
      </c>
      <c r="K23" s="41">
        <f>listeAchats[[#This Row],[Coût d''achat]]*listeAchats[[#This Row],[Quantité]]</f>
        <v>6000</v>
      </c>
      <c r="L23" s="2"/>
    </row>
    <row r="24" spans="1:12" ht="18" customHeight="1">
      <c r="A24" s="6"/>
      <c r="B24" s="2"/>
      <c r="C24" s="14">
        <f t="shared" si="0"/>
        <v>40</v>
      </c>
      <c r="D24" s="15">
        <v>44687</v>
      </c>
      <c r="E24" s="35" t="s">
        <v>38</v>
      </c>
      <c r="F24" s="35" t="s">
        <v>64</v>
      </c>
      <c r="G24" s="35" t="s">
        <v>60</v>
      </c>
      <c r="H24" s="35" t="s">
        <v>32</v>
      </c>
      <c r="I24" s="36">
        <v>700</v>
      </c>
      <c r="J24" s="37">
        <v>6</v>
      </c>
      <c r="K24" s="41">
        <f>listeAchats[[#This Row],[Coût d''achat]]*listeAchats[[#This Row],[Quantité]]</f>
        <v>4200</v>
      </c>
      <c r="L24" s="2"/>
    </row>
    <row r="25" spans="1:12" ht="18" customHeight="1">
      <c r="A25" s="6"/>
      <c r="B25" s="2"/>
      <c r="C25" s="14">
        <f t="shared" si="0"/>
        <v>39</v>
      </c>
      <c r="D25" s="15">
        <v>44657</v>
      </c>
      <c r="E25" s="35" t="s">
        <v>38</v>
      </c>
      <c r="F25" s="35" t="s">
        <v>64</v>
      </c>
      <c r="G25" s="35" t="s">
        <v>60</v>
      </c>
      <c r="H25" s="35" t="s">
        <v>32</v>
      </c>
      <c r="I25" s="36">
        <v>700</v>
      </c>
      <c r="J25" s="37">
        <v>2</v>
      </c>
      <c r="K25" s="41">
        <f>listeAchats[[#This Row],[Coût d''achat]]*listeAchats[[#This Row],[Quantité]]</f>
        <v>1400</v>
      </c>
      <c r="L25" s="2"/>
    </row>
    <row r="26" spans="1:12" ht="18" customHeight="1">
      <c r="A26" s="6"/>
      <c r="B26" s="2"/>
      <c r="C26" s="14">
        <f t="shared" si="0"/>
        <v>38</v>
      </c>
      <c r="D26" s="15">
        <v>44623</v>
      </c>
      <c r="E26" s="35" t="s">
        <v>38</v>
      </c>
      <c r="F26" s="35" t="s">
        <v>64</v>
      </c>
      <c r="G26" s="35" t="s">
        <v>60</v>
      </c>
      <c r="H26" s="35" t="s">
        <v>32</v>
      </c>
      <c r="I26" s="36">
        <v>700</v>
      </c>
      <c r="J26" s="37">
        <v>4</v>
      </c>
      <c r="K26" s="41">
        <f>listeAchats[[#This Row],[Coût d''achat]]*listeAchats[[#This Row],[Quantité]]</f>
        <v>2800</v>
      </c>
      <c r="L26" s="2"/>
    </row>
    <row r="27" spans="1:12" ht="18" customHeight="1">
      <c r="A27" s="6"/>
      <c r="B27" s="2"/>
      <c r="C27" s="14">
        <f t="shared" si="0"/>
        <v>37</v>
      </c>
      <c r="D27" s="15">
        <v>44595</v>
      </c>
      <c r="E27" s="35" t="s">
        <v>38</v>
      </c>
      <c r="F27" s="35" t="s">
        <v>64</v>
      </c>
      <c r="G27" s="35" t="s">
        <v>60</v>
      </c>
      <c r="H27" s="35" t="s">
        <v>32</v>
      </c>
      <c r="I27" s="36">
        <v>700</v>
      </c>
      <c r="J27" s="37">
        <v>3</v>
      </c>
      <c r="K27" s="41">
        <f>listeAchats[[#This Row],[Coût d''achat]]*listeAchats[[#This Row],[Quantité]]</f>
        <v>2100</v>
      </c>
      <c r="L27" s="2"/>
    </row>
    <row r="28" spans="1:12" ht="18" customHeight="1">
      <c r="A28" s="6"/>
      <c r="B28" s="2"/>
      <c r="C28" s="14">
        <f t="shared" si="0"/>
        <v>36</v>
      </c>
      <c r="D28" s="15">
        <v>44583</v>
      </c>
      <c r="E28" s="35" t="s">
        <v>38</v>
      </c>
      <c r="F28" s="35" t="s">
        <v>64</v>
      </c>
      <c r="G28" s="35" t="s">
        <v>60</v>
      </c>
      <c r="H28" s="35" t="s">
        <v>32</v>
      </c>
      <c r="I28" s="36">
        <v>700</v>
      </c>
      <c r="J28" s="37">
        <v>4</v>
      </c>
      <c r="K28" s="41">
        <f>listeAchats[[#This Row],[Coût d''achat]]*listeAchats[[#This Row],[Quantité]]</f>
        <v>2800</v>
      </c>
      <c r="L28" s="2"/>
    </row>
    <row r="29" spans="1:12" ht="18" customHeight="1">
      <c r="A29" s="6"/>
      <c r="B29" s="2"/>
      <c r="C29" s="14">
        <f t="shared" si="0"/>
        <v>35</v>
      </c>
      <c r="D29" s="15">
        <v>44703</v>
      </c>
      <c r="E29" s="35" t="s">
        <v>36</v>
      </c>
      <c r="F29" s="35" t="s">
        <v>50</v>
      </c>
      <c r="G29" s="35" t="s">
        <v>59</v>
      </c>
      <c r="H29" s="35" t="s">
        <v>32</v>
      </c>
      <c r="I29" s="36">
        <v>405</v>
      </c>
      <c r="J29" s="37">
        <v>5</v>
      </c>
      <c r="K29" s="41">
        <f>listeAchats[[#This Row],[Coût d''achat]]*listeAchats[[#This Row],[Quantité]]</f>
        <v>2025</v>
      </c>
      <c r="L29" s="2"/>
    </row>
    <row r="30" spans="1:12" ht="18" customHeight="1">
      <c r="A30" s="6"/>
      <c r="B30" s="2"/>
      <c r="C30" s="14">
        <f t="shared" si="0"/>
        <v>34</v>
      </c>
      <c r="D30" s="15">
        <v>44656</v>
      </c>
      <c r="E30" s="35" t="s">
        <v>36</v>
      </c>
      <c r="F30" s="35" t="s">
        <v>50</v>
      </c>
      <c r="G30" s="35" t="s">
        <v>59</v>
      </c>
      <c r="H30" s="35" t="s">
        <v>32</v>
      </c>
      <c r="I30" s="36">
        <v>410</v>
      </c>
      <c r="J30" s="37">
        <v>10</v>
      </c>
      <c r="K30" s="41">
        <f>listeAchats[[#This Row],[Coût d''achat]]*listeAchats[[#This Row],[Quantité]]</f>
        <v>4100</v>
      </c>
      <c r="L30" s="2"/>
    </row>
    <row r="31" spans="1:12" ht="18" customHeight="1">
      <c r="A31" s="6"/>
      <c r="B31" s="2"/>
      <c r="C31" s="14">
        <f t="shared" si="0"/>
        <v>33</v>
      </c>
      <c r="D31" s="15">
        <v>44625</v>
      </c>
      <c r="E31" s="35" t="s">
        <v>36</v>
      </c>
      <c r="F31" s="35" t="s">
        <v>50</v>
      </c>
      <c r="G31" s="35" t="s">
        <v>59</v>
      </c>
      <c r="H31" s="35" t="s">
        <v>32</v>
      </c>
      <c r="I31" s="36">
        <v>420</v>
      </c>
      <c r="J31" s="37">
        <v>10</v>
      </c>
      <c r="K31" s="41">
        <f>listeAchats[[#This Row],[Coût d''achat]]*listeAchats[[#This Row],[Quantité]]</f>
        <v>4200</v>
      </c>
      <c r="L31" s="2"/>
    </row>
    <row r="32" spans="1:12" ht="18" customHeight="1">
      <c r="A32" s="6"/>
      <c r="B32" s="2"/>
      <c r="C32" s="14">
        <f t="shared" si="0"/>
        <v>32</v>
      </c>
      <c r="D32" s="15">
        <v>44602</v>
      </c>
      <c r="E32" s="35" t="s">
        <v>36</v>
      </c>
      <c r="F32" s="35" t="s">
        <v>50</v>
      </c>
      <c r="G32" s="35" t="s">
        <v>59</v>
      </c>
      <c r="H32" s="35" t="s">
        <v>32</v>
      </c>
      <c r="I32" s="36">
        <v>400</v>
      </c>
      <c r="J32" s="37">
        <v>10</v>
      </c>
      <c r="K32" s="41">
        <f>listeAchats[[#This Row],[Coût d''achat]]*listeAchats[[#This Row],[Quantité]]</f>
        <v>4000</v>
      </c>
      <c r="L32" s="2"/>
    </row>
    <row r="33" spans="1:12" ht="18" customHeight="1">
      <c r="A33" s="6"/>
      <c r="B33" s="2"/>
      <c r="C33" s="14">
        <f t="shared" si="0"/>
        <v>31</v>
      </c>
      <c r="D33" s="15">
        <v>44563</v>
      </c>
      <c r="E33" s="35" t="s">
        <v>36</v>
      </c>
      <c r="F33" s="35" t="s">
        <v>50</v>
      </c>
      <c r="G33" s="35" t="s">
        <v>59</v>
      </c>
      <c r="H33" s="35" t="s">
        <v>32</v>
      </c>
      <c r="I33" s="36">
        <v>400</v>
      </c>
      <c r="J33" s="37">
        <v>5</v>
      </c>
      <c r="K33" s="41">
        <f>listeAchats[[#This Row],[Coût d''achat]]*listeAchats[[#This Row],[Quantité]]</f>
        <v>2000</v>
      </c>
      <c r="L33" s="2"/>
    </row>
    <row r="34" spans="1:12" ht="18" customHeight="1">
      <c r="A34" s="6"/>
      <c r="B34" s="2"/>
      <c r="C34" s="14">
        <f t="shared" si="0"/>
        <v>30</v>
      </c>
      <c r="D34" s="15">
        <v>44689</v>
      </c>
      <c r="E34" s="35" t="s">
        <v>35</v>
      </c>
      <c r="F34" s="35" t="s">
        <v>49</v>
      </c>
      <c r="G34" s="35" t="s">
        <v>59</v>
      </c>
      <c r="H34" s="35" t="s">
        <v>32</v>
      </c>
      <c r="I34" s="36">
        <v>760</v>
      </c>
      <c r="J34" s="37">
        <v>20</v>
      </c>
      <c r="K34" s="41">
        <f>listeAchats[[#This Row],[Coût d''achat]]*listeAchats[[#This Row],[Quantité]]</f>
        <v>15200</v>
      </c>
      <c r="L34" s="2"/>
    </row>
    <row r="35" spans="1:12" ht="18" customHeight="1">
      <c r="A35" s="6"/>
      <c r="B35" s="2"/>
      <c r="C35" s="14">
        <f t="shared" si="0"/>
        <v>29</v>
      </c>
      <c r="D35" s="15">
        <v>44656</v>
      </c>
      <c r="E35" s="35" t="s">
        <v>35</v>
      </c>
      <c r="F35" s="35" t="s">
        <v>49</v>
      </c>
      <c r="G35" s="35" t="s">
        <v>59</v>
      </c>
      <c r="H35" s="35" t="s">
        <v>32</v>
      </c>
      <c r="I35" s="36">
        <v>750</v>
      </c>
      <c r="J35" s="37">
        <v>5</v>
      </c>
      <c r="K35" s="41">
        <f>listeAchats[[#This Row],[Coût d''achat]]*listeAchats[[#This Row],[Quantité]]</f>
        <v>3750</v>
      </c>
      <c r="L35" s="2"/>
    </row>
    <row r="36" spans="1:12" ht="18" customHeight="1">
      <c r="A36" s="6"/>
      <c r="B36" s="2"/>
      <c r="C36" s="14">
        <f t="shared" si="0"/>
        <v>28</v>
      </c>
      <c r="D36" s="15">
        <v>44623</v>
      </c>
      <c r="E36" s="35" t="s">
        <v>35</v>
      </c>
      <c r="F36" s="35" t="s">
        <v>49</v>
      </c>
      <c r="G36" s="35" t="s">
        <v>59</v>
      </c>
      <c r="H36" s="35" t="s">
        <v>32</v>
      </c>
      <c r="I36" s="36">
        <v>745</v>
      </c>
      <c r="J36" s="37">
        <v>10</v>
      </c>
      <c r="K36" s="41">
        <f>listeAchats[[#This Row],[Coût d''achat]]*listeAchats[[#This Row],[Quantité]]</f>
        <v>7450</v>
      </c>
      <c r="L36" s="2"/>
    </row>
    <row r="37" spans="1:12" ht="18" customHeight="1">
      <c r="A37" s="6"/>
      <c r="B37" s="2"/>
      <c r="C37" s="14">
        <f t="shared" si="0"/>
        <v>27</v>
      </c>
      <c r="D37" s="15">
        <v>44618</v>
      </c>
      <c r="E37" s="35" t="s">
        <v>35</v>
      </c>
      <c r="F37" s="35" t="s">
        <v>49</v>
      </c>
      <c r="G37" s="35" t="s">
        <v>59</v>
      </c>
      <c r="H37" s="35" t="s">
        <v>32</v>
      </c>
      <c r="I37" s="36">
        <v>750</v>
      </c>
      <c r="J37" s="37">
        <v>10</v>
      </c>
      <c r="K37" s="41">
        <f>listeAchats[[#This Row],[Coût d''achat]]*listeAchats[[#This Row],[Quantité]]</f>
        <v>7500</v>
      </c>
      <c r="L37" s="2"/>
    </row>
    <row r="38" spans="1:12" ht="18" customHeight="1">
      <c r="A38" s="6"/>
      <c r="B38" s="2"/>
      <c r="C38" s="14">
        <f t="shared" si="0"/>
        <v>26</v>
      </c>
      <c r="D38" s="15">
        <v>44563</v>
      </c>
      <c r="E38" s="35" t="s">
        <v>35</v>
      </c>
      <c r="F38" s="35" t="s">
        <v>49</v>
      </c>
      <c r="G38" s="35" t="s">
        <v>59</v>
      </c>
      <c r="H38" s="35" t="s">
        <v>32</v>
      </c>
      <c r="I38" s="36">
        <v>740</v>
      </c>
      <c r="J38" s="37">
        <v>5</v>
      </c>
      <c r="K38" s="41">
        <f>listeAchats[[#This Row],[Coût d''achat]]*listeAchats[[#This Row],[Quantité]]</f>
        <v>3700</v>
      </c>
      <c r="L38" s="2"/>
    </row>
    <row r="39" spans="1:12" ht="18" customHeight="1">
      <c r="A39" s="6"/>
      <c r="B39" s="2"/>
      <c r="C39" s="14">
        <f t="shared" si="0"/>
        <v>25</v>
      </c>
      <c r="D39" s="15">
        <v>44683</v>
      </c>
      <c r="E39" s="35" t="s">
        <v>53</v>
      </c>
      <c r="F39" s="35" t="s">
        <v>66</v>
      </c>
      <c r="G39" s="35" t="s">
        <v>58</v>
      </c>
      <c r="H39" s="35" t="s">
        <v>32</v>
      </c>
      <c r="I39" s="36">
        <v>1400</v>
      </c>
      <c r="J39" s="37">
        <v>30</v>
      </c>
      <c r="K39" s="41">
        <f>listeAchats[[#This Row],[Coût d''achat]]*listeAchats[[#This Row],[Quantité]]</f>
        <v>42000</v>
      </c>
      <c r="L39" s="2"/>
    </row>
    <row r="40" spans="1:12" ht="18" customHeight="1">
      <c r="A40" s="6"/>
      <c r="B40" s="2"/>
      <c r="C40" s="14">
        <f t="shared" si="0"/>
        <v>24</v>
      </c>
      <c r="D40" s="15">
        <v>44676</v>
      </c>
      <c r="E40" s="35" t="s">
        <v>53</v>
      </c>
      <c r="F40" s="35" t="s">
        <v>66</v>
      </c>
      <c r="G40" s="35" t="s">
        <v>58</v>
      </c>
      <c r="H40" s="35" t="s">
        <v>32</v>
      </c>
      <c r="I40" s="36">
        <v>1400</v>
      </c>
      <c r="J40" s="37">
        <v>20</v>
      </c>
      <c r="K40" s="41">
        <f>listeAchats[[#This Row],[Coût d''achat]]*listeAchats[[#This Row],[Quantité]]</f>
        <v>28000</v>
      </c>
      <c r="L40" s="2"/>
    </row>
    <row r="41" spans="1:12" ht="18" customHeight="1">
      <c r="A41" s="6"/>
      <c r="B41" s="2"/>
      <c r="C41" s="14">
        <f t="shared" ref="C41:C61" si="1">C42+1</f>
        <v>23</v>
      </c>
      <c r="D41" s="15">
        <v>44646</v>
      </c>
      <c r="E41" s="35" t="s">
        <v>53</v>
      </c>
      <c r="F41" s="35" t="s">
        <v>66</v>
      </c>
      <c r="G41" s="35" t="s">
        <v>58</v>
      </c>
      <c r="H41" s="35" t="s">
        <v>32</v>
      </c>
      <c r="I41" s="36">
        <v>1400</v>
      </c>
      <c r="J41" s="37">
        <v>10</v>
      </c>
      <c r="K41" s="41">
        <f>listeAchats[[#This Row],[Coût d''achat]]*listeAchats[[#This Row],[Quantité]]</f>
        <v>14000</v>
      </c>
      <c r="L41" s="2"/>
    </row>
    <row r="42" spans="1:12" ht="18" customHeight="1">
      <c r="A42" s="6"/>
      <c r="B42" s="2"/>
      <c r="C42" s="14">
        <f t="shared" si="1"/>
        <v>22</v>
      </c>
      <c r="D42" s="15">
        <v>44594</v>
      </c>
      <c r="E42" s="35" t="s">
        <v>53</v>
      </c>
      <c r="F42" s="35" t="s">
        <v>66</v>
      </c>
      <c r="G42" s="35" t="s">
        <v>58</v>
      </c>
      <c r="H42" s="35" t="s">
        <v>32</v>
      </c>
      <c r="I42" s="36">
        <v>1400</v>
      </c>
      <c r="J42" s="37">
        <v>6</v>
      </c>
      <c r="K42" s="41">
        <f>listeAchats[[#This Row],[Coût d''achat]]*listeAchats[[#This Row],[Quantité]]</f>
        <v>8400</v>
      </c>
      <c r="L42" s="2"/>
    </row>
    <row r="43" spans="1:12" ht="18" customHeight="1">
      <c r="A43" s="6"/>
      <c r="B43" s="2"/>
      <c r="C43" s="14">
        <f t="shared" si="1"/>
        <v>21</v>
      </c>
      <c r="D43" s="15">
        <v>44593</v>
      </c>
      <c r="E43" s="35" t="s">
        <v>53</v>
      </c>
      <c r="F43" s="35" t="s">
        <v>66</v>
      </c>
      <c r="G43" s="35" t="s">
        <v>58</v>
      </c>
      <c r="H43" s="35" t="s">
        <v>32</v>
      </c>
      <c r="I43" s="36">
        <v>1400</v>
      </c>
      <c r="J43" s="37">
        <v>30</v>
      </c>
      <c r="K43" s="41">
        <f>listeAchats[[#This Row],[Coût d''achat]]*listeAchats[[#This Row],[Quantité]]</f>
        <v>42000</v>
      </c>
      <c r="L43" s="2"/>
    </row>
    <row r="44" spans="1:12" ht="18" customHeight="1">
      <c r="A44" s="6"/>
      <c r="B44" s="2"/>
      <c r="C44" s="14">
        <f t="shared" si="1"/>
        <v>20</v>
      </c>
      <c r="D44" s="15">
        <v>44689</v>
      </c>
      <c r="E44" s="35" t="s">
        <v>52</v>
      </c>
      <c r="F44" s="35" t="s">
        <v>51</v>
      </c>
      <c r="G44" s="35" t="s">
        <v>58</v>
      </c>
      <c r="H44" s="35" t="s">
        <v>32</v>
      </c>
      <c r="I44" s="36">
        <v>620</v>
      </c>
      <c r="J44" s="37">
        <v>3</v>
      </c>
      <c r="K44" s="41">
        <f>listeAchats[[#This Row],[Coût d''achat]]*listeAchats[[#This Row],[Quantité]]</f>
        <v>1860</v>
      </c>
      <c r="L44" s="2"/>
    </row>
    <row r="45" spans="1:12" ht="18" customHeight="1">
      <c r="A45" s="6"/>
      <c r="B45" s="2"/>
      <c r="C45" s="14">
        <f t="shared" si="1"/>
        <v>19</v>
      </c>
      <c r="D45" s="15">
        <v>44656</v>
      </c>
      <c r="E45" s="35" t="s">
        <v>52</v>
      </c>
      <c r="F45" s="35" t="s">
        <v>51</v>
      </c>
      <c r="G45" s="35" t="s">
        <v>58</v>
      </c>
      <c r="H45" s="35" t="s">
        <v>32</v>
      </c>
      <c r="I45" s="36">
        <v>600</v>
      </c>
      <c r="J45" s="37">
        <v>5</v>
      </c>
      <c r="K45" s="41">
        <f>listeAchats[[#This Row],[Coût d''achat]]*listeAchats[[#This Row],[Quantité]]</f>
        <v>3000</v>
      </c>
      <c r="L45" s="2"/>
    </row>
    <row r="46" spans="1:12" ht="18" customHeight="1">
      <c r="A46" s="6"/>
      <c r="B46" s="2"/>
      <c r="C46" s="14">
        <f t="shared" si="1"/>
        <v>18</v>
      </c>
      <c r="D46" s="15">
        <v>44623</v>
      </c>
      <c r="E46" s="35" t="s">
        <v>52</v>
      </c>
      <c r="F46" s="35" t="s">
        <v>51</v>
      </c>
      <c r="G46" s="35" t="s">
        <v>58</v>
      </c>
      <c r="H46" s="35" t="s">
        <v>32</v>
      </c>
      <c r="I46" s="36">
        <v>550</v>
      </c>
      <c r="J46" s="37">
        <v>2</v>
      </c>
      <c r="K46" s="41">
        <f>listeAchats[[#This Row],[Coût d''achat]]*listeAchats[[#This Row],[Quantité]]</f>
        <v>1100</v>
      </c>
      <c r="L46" s="2"/>
    </row>
    <row r="47" spans="1:12" ht="18" customHeight="1">
      <c r="A47" s="6"/>
      <c r="B47" s="2"/>
      <c r="C47" s="14">
        <f t="shared" si="1"/>
        <v>17</v>
      </c>
      <c r="D47" s="15">
        <v>44597</v>
      </c>
      <c r="E47" s="35" t="s">
        <v>52</v>
      </c>
      <c r="F47" s="35" t="s">
        <v>51</v>
      </c>
      <c r="G47" s="35" t="s">
        <v>58</v>
      </c>
      <c r="H47" s="35" t="s">
        <v>32</v>
      </c>
      <c r="I47" s="36">
        <v>600</v>
      </c>
      <c r="J47" s="37">
        <v>5</v>
      </c>
      <c r="K47" s="41">
        <f>listeAchats[[#This Row],[Coût d''achat]]*listeAchats[[#This Row],[Quantité]]</f>
        <v>3000</v>
      </c>
      <c r="L47" s="2"/>
    </row>
    <row r="48" spans="1:12" ht="18" customHeight="1">
      <c r="A48" s="6"/>
      <c r="B48" s="2"/>
      <c r="C48" s="14">
        <f t="shared" si="1"/>
        <v>16</v>
      </c>
      <c r="D48" s="15">
        <v>44581</v>
      </c>
      <c r="E48" s="35" t="s">
        <v>52</v>
      </c>
      <c r="F48" s="35" t="s">
        <v>51</v>
      </c>
      <c r="G48" s="35" t="s">
        <v>58</v>
      </c>
      <c r="H48" s="35" t="s">
        <v>32</v>
      </c>
      <c r="I48" s="36">
        <v>600</v>
      </c>
      <c r="J48" s="37">
        <v>40</v>
      </c>
      <c r="K48" s="41">
        <f>listeAchats[[#This Row],[Coût d''achat]]*listeAchats[[#This Row],[Quantité]]</f>
        <v>24000</v>
      </c>
      <c r="L48" s="2"/>
    </row>
    <row r="49" spans="1:12" ht="18" customHeight="1">
      <c r="A49" s="6"/>
      <c r="B49" s="2"/>
      <c r="C49" s="14">
        <f t="shared" si="1"/>
        <v>15</v>
      </c>
      <c r="D49" s="15">
        <v>44689</v>
      </c>
      <c r="E49" s="35" t="s">
        <v>56</v>
      </c>
      <c r="F49" s="35" t="s">
        <v>18</v>
      </c>
      <c r="G49" s="35" t="s">
        <v>19</v>
      </c>
      <c r="H49" s="35" t="s">
        <v>22</v>
      </c>
      <c r="I49" s="36">
        <v>4</v>
      </c>
      <c r="J49" s="37">
        <v>250</v>
      </c>
      <c r="K49" s="41">
        <f>listeAchats[[#This Row],[Coût d''achat]]*listeAchats[[#This Row],[Quantité]]</f>
        <v>1000</v>
      </c>
      <c r="L49" s="2"/>
    </row>
    <row r="50" spans="1:12" ht="18" customHeight="1">
      <c r="A50" s="6"/>
      <c r="B50" s="2"/>
      <c r="C50" s="14">
        <f t="shared" si="1"/>
        <v>14</v>
      </c>
      <c r="D50" s="15">
        <v>44676</v>
      </c>
      <c r="E50" s="35" t="s">
        <v>56</v>
      </c>
      <c r="F50" s="35" t="s">
        <v>18</v>
      </c>
      <c r="G50" s="35" t="s">
        <v>19</v>
      </c>
      <c r="H50" s="35" t="s">
        <v>22</v>
      </c>
      <c r="I50" s="36">
        <v>4</v>
      </c>
      <c r="J50" s="37">
        <v>30</v>
      </c>
      <c r="K50" s="41">
        <f>listeAchats[[#This Row],[Coût d''achat]]*listeAchats[[#This Row],[Quantité]]</f>
        <v>120</v>
      </c>
      <c r="L50" s="2"/>
    </row>
    <row r="51" spans="1:12" ht="18" customHeight="1">
      <c r="A51" s="6"/>
      <c r="B51" s="2"/>
      <c r="C51" s="14">
        <f t="shared" si="1"/>
        <v>13</v>
      </c>
      <c r="D51" s="15">
        <v>44640</v>
      </c>
      <c r="E51" s="35" t="s">
        <v>56</v>
      </c>
      <c r="F51" s="35" t="s">
        <v>18</v>
      </c>
      <c r="G51" s="35" t="s">
        <v>19</v>
      </c>
      <c r="H51" s="35" t="s">
        <v>22</v>
      </c>
      <c r="I51" s="36">
        <v>4</v>
      </c>
      <c r="J51" s="37">
        <v>20</v>
      </c>
      <c r="K51" s="41">
        <f>listeAchats[[#This Row],[Coût d''achat]]*listeAchats[[#This Row],[Quantité]]</f>
        <v>80</v>
      </c>
      <c r="L51" s="2"/>
    </row>
    <row r="52" spans="1:12" ht="18" customHeight="1">
      <c r="A52" s="6"/>
      <c r="B52" s="2"/>
      <c r="C52" s="14">
        <f t="shared" si="1"/>
        <v>12</v>
      </c>
      <c r="D52" s="15">
        <v>44597</v>
      </c>
      <c r="E52" s="35" t="s">
        <v>56</v>
      </c>
      <c r="F52" s="35" t="s">
        <v>18</v>
      </c>
      <c r="G52" s="35" t="s">
        <v>19</v>
      </c>
      <c r="H52" s="35" t="s">
        <v>22</v>
      </c>
      <c r="I52" s="36">
        <v>4</v>
      </c>
      <c r="J52" s="37">
        <v>10</v>
      </c>
      <c r="K52" s="41">
        <f>listeAchats[[#This Row],[Coût d''achat]]*listeAchats[[#This Row],[Quantité]]</f>
        <v>40</v>
      </c>
      <c r="L52" s="2"/>
    </row>
    <row r="53" spans="1:12" ht="18" customHeight="1">
      <c r="A53" s="6"/>
      <c r="B53" s="2"/>
      <c r="C53" s="14">
        <f t="shared" si="1"/>
        <v>11</v>
      </c>
      <c r="D53" s="15">
        <v>44686</v>
      </c>
      <c r="E53" s="35" t="s">
        <v>55</v>
      </c>
      <c r="F53" s="35" t="s">
        <v>18</v>
      </c>
      <c r="G53" s="35" t="s">
        <v>19</v>
      </c>
      <c r="H53" s="35" t="s">
        <v>21</v>
      </c>
      <c r="I53" s="36">
        <v>2</v>
      </c>
      <c r="J53" s="37">
        <v>50</v>
      </c>
      <c r="K53" s="41">
        <f>listeAchats[[#This Row],[Coût d''achat]]*listeAchats[[#This Row],[Quantité]]</f>
        <v>100</v>
      </c>
      <c r="L53" s="2"/>
    </row>
    <row r="54" spans="1:12" ht="18" customHeight="1">
      <c r="A54" s="6"/>
      <c r="B54" s="2"/>
      <c r="C54" s="14">
        <f t="shared" si="1"/>
        <v>10</v>
      </c>
      <c r="D54" s="15">
        <v>44656</v>
      </c>
      <c r="E54" s="35" t="s">
        <v>55</v>
      </c>
      <c r="F54" s="35" t="s">
        <v>18</v>
      </c>
      <c r="G54" s="35" t="s">
        <v>19</v>
      </c>
      <c r="H54" s="35" t="s">
        <v>21</v>
      </c>
      <c r="I54" s="36">
        <v>2</v>
      </c>
      <c r="J54" s="37">
        <v>5</v>
      </c>
      <c r="K54" s="41">
        <f>listeAchats[[#This Row],[Coût d''achat]]*listeAchats[[#This Row],[Quantité]]</f>
        <v>10</v>
      </c>
      <c r="L54" s="2"/>
    </row>
    <row r="55" spans="1:12" ht="18" customHeight="1">
      <c r="A55" s="6"/>
      <c r="B55" s="2"/>
      <c r="C55" s="14">
        <f t="shared" si="1"/>
        <v>9</v>
      </c>
      <c r="D55" s="15">
        <v>44622</v>
      </c>
      <c r="E55" s="35" t="s">
        <v>55</v>
      </c>
      <c r="F55" s="35" t="s">
        <v>18</v>
      </c>
      <c r="G55" s="35" t="s">
        <v>19</v>
      </c>
      <c r="H55" s="35" t="s">
        <v>21</v>
      </c>
      <c r="I55" s="36">
        <v>2</v>
      </c>
      <c r="J55" s="37">
        <v>4</v>
      </c>
      <c r="K55" s="41">
        <f>listeAchats[[#This Row],[Coût d''achat]]*listeAchats[[#This Row],[Quantité]]</f>
        <v>8</v>
      </c>
      <c r="L55" s="2"/>
    </row>
    <row r="56" spans="1:12" ht="18" customHeight="1">
      <c r="A56" s="6"/>
      <c r="B56" s="2"/>
      <c r="C56" s="14">
        <f t="shared" si="1"/>
        <v>8</v>
      </c>
      <c r="D56" s="15">
        <v>44617</v>
      </c>
      <c r="E56" s="35" t="s">
        <v>55</v>
      </c>
      <c r="F56" s="35" t="s">
        <v>18</v>
      </c>
      <c r="G56" s="35" t="s">
        <v>19</v>
      </c>
      <c r="H56" s="35" t="s">
        <v>21</v>
      </c>
      <c r="I56" s="36">
        <v>2</v>
      </c>
      <c r="J56" s="37">
        <v>60</v>
      </c>
      <c r="K56" s="41">
        <f>listeAchats[[#This Row],[Coût d''achat]]*listeAchats[[#This Row],[Quantité]]</f>
        <v>120</v>
      </c>
      <c r="L56" s="2"/>
    </row>
    <row r="57" spans="1:12" ht="18" customHeight="1">
      <c r="A57" s="6"/>
      <c r="B57" s="2"/>
      <c r="C57" s="14">
        <f t="shared" si="1"/>
        <v>7</v>
      </c>
      <c r="D57" s="15">
        <v>44686</v>
      </c>
      <c r="E57" s="35" t="s">
        <v>54</v>
      </c>
      <c r="F57" s="35" t="s">
        <v>18</v>
      </c>
      <c r="G57" s="35" t="s">
        <v>19</v>
      </c>
      <c r="H57" s="35" t="s">
        <v>20</v>
      </c>
      <c r="I57" s="36">
        <v>0.24</v>
      </c>
      <c r="J57" s="37">
        <v>10</v>
      </c>
      <c r="K57" s="41">
        <f>listeAchats[[#This Row],[Coût d''achat]]*listeAchats[[#This Row],[Quantité]]</f>
        <v>2.4</v>
      </c>
      <c r="L57" s="2"/>
    </row>
    <row r="58" spans="1:12" ht="18" customHeight="1">
      <c r="A58" s="6"/>
      <c r="B58" s="2"/>
      <c r="C58" s="14">
        <f t="shared" si="1"/>
        <v>6</v>
      </c>
      <c r="D58" s="15">
        <v>44654</v>
      </c>
      <c r="E58" s="35" t="s">
        <v>54</v>
      </c>
      <c r="F58" s="35" t="s">
        <v>18</v>
      </c>
      <c r="G58" s="35" t="s">
        <v>19</v>
      </c>
      <c r="H58" s="35" t="s">
        <v>20</v>
      </c>
      <c r="I58" s="36">
        <v>0.23</v>
      </c>
      <c r="J58" s="37">
        <v>5</v>
      </c>
      <c r="K58" s="41">
        <f>listeAchats[[#This Row],[Coût d''achat]]*listeAchats[[#This Row],[Quantité]]</f>
        <v>1.1500000000000001</v>
      </c>
      <c r="L58" s="2"/>
    </row>
    <row r="59" spans="1:12" ht="18" customHeight="1">
      <c r="A59" s="6"/>
      <c r="B59" s="2"/>
      <c r="C59" s="14">
        <f t="shared" si="1"/>
        <v>5</v>
      </c>
      <c r="D59" s="15">
        <v>44640</v>
      </c>
      <c r="E59" s="35" t="s">
        <v>54</v>
      </c>
      <c r="F59" s="35" t="s">
        <v>18</v>
      </c>
      <c r="G59" s="35" t="s">
        <v>19</v>
      </c>
      <c r="H59" s="35" t="s">
        <v>20</v>
      </c>
      <c r="I59" s="36">
        <v>0.2</v>
      </c>
      <c r="J59" s="37">
        <v>50</v>
      </c>
      <c r="K59" s="41">
        <f>listeAchats[[#This Row],[Coût d''achat]]*listeAchats[[#This Row],[Quantité]]</f>
        <v>10</v>
      </c>
      <c r="L59" s="2"/>
    </row>
    <row r="60" spans="1:12" ht="18" customHeight="1">
      <c r="A60" s="6"/>
      <c r="B60" s="2"/>
      <c r="C60" s="14">
        <f t="shared" si="1"/>
        <v>4</v>
      </c>
      <c r="D60" s="15">
        <v>44594</v>
      </c>
      <c r="E60" s="35" t="s">
        <v>54</v>
      </c>
      <c r="F60" s="35" t="s">
        <v>18</v>
      </c>
      <c r="G60" s="35" t="s">
        <v>19</v>
      </c>
      <c r="H60" s="35" t="s">
        <v>20</v>
      </c>
      <c r="I60" s="36">
        <v>0.22</v>
      </c>
      <c r="J60" s="37">
        <v>20</v>
      </c>
      <c r="K60" s="41">
        <f>listeAchats[[#This Row],[Coût d''achat]]*listeAchats[[#This Row],[Quantité]]</f>
        <v>4.4000000000000004</v>
      </c>
      <c r="L60" s="2"/>
    </row>
    <row r="61" spans="1:12" ht="18" customHeight="1">
      <c r="A61" s="6"/>
      <c r="B61" s="2"/>
      <c r="C61" s="14">
        <f t="shared" si="1"/>
        <v>3</v>
      </c>
      <c r="D61" s="15">
        <v>44586</v>
      </c>
      <c r="E61" s="35" t="s">
        <v>54</v>
      </c>
      <c r="F61" s="35" t="s">
        <v>18</v>
      </c>
      <c r="G61" s="35" t="s">
        <v>19</v>
      </c>
      <c r="H61" s="35" t="s">
        <v>20</v>
      </c>
      <c r="I61" s="36">
        <v>0.2</v>
      </c>
      <c r="J61" s="37">
        <v>10</v>
      </c>
      <c r="K61" s="41">
        <f>listeAchats[[#This Row],[Coût d''achat]]*listeAchats[[#This Row],[Quantité]]</f>
        <v>2</v>
      </c>
      <c r="L61" s="2"/>
    </row>
    <row r="62" spans="1:12" ht="18" customHeight="1">
      <c r="A62" s="6"/>
      <c r="B62" s="2"/>
      <c r="C62" s="14">
        <v>2</v>
      </c>
      <c r="D62" s="15">
        <v>44566</v>
      </c>
      <c r="E62" s="12" t="s">
        <v>55</v>
      </c>
      <c r="F62" s="12" t="s">
        <v>18</v>
      </c>
      <c r="G62" s="12" t="s">
        <v>19</v>
      </c>
      <c r="H62" s="12" t="s">
        <v>21</v>
      </c>
      <c r="I62" s="13">
        <v>2</v>
      </c>
      <c r="J62" s="37">
        <v>3</v>
      </c>
      <c r="K62" s="13">
        <f>listeAchats[[#This Row],[Coût d''achat]]*listeAchats[[#This Row],[Quantité]]</f>
        <v>6</v>
      </c>
      <c r="L62" s="2"/>
    </row>
    <row r="63" spans="1:12" ht="18" customHeight="1">
      <c r="B63" s="2"/>
      <c r="C63" s="14">
        <v>1</v>
      </c>
      <c r="D63" s="15">
        <v>44563</v>
      </c>
      <c r="E63" s="12" t="s">
        <v>56</v>
      </c>
      <c r="F63" s="12" t="s">
        <v>18</v>
      </c>
      <c r="G63" s="12" t="s">
        <v>19</v>
      </c>
      <c r="H63" s="12" t="s">
        <v>22</v>
      </c>
      <c r="I63" s="13">
        <v>4</v>
      </c>
      <c r="J63" s="37">
        <v>10</v>
      </c>
      <c r="K63" s="13">
        <f>listeAchats[[#This Row],[Coût d''achat]]*listeAchats[[#This Row],[Quantité]]</f>
        <v>40</v>
      </c>
      <c r="L63" s="2"/>
    </row>
    <row r="64" spans="1:12" ht="18" customHeight="1">
      <c r="B64" s="2"/>
      <c r="C64" s="2"/>
      <c r="D64" s="2"/>
      <c r="E64" s="2"/>
      <c r="F64" s="2"/>
      <c r="G64" s="2"/>
      <c r="H64" s="2"/>
      <c r="I64" s="2"/>
      <c r="J64" s="39"/>
      <c r="K64" s="2"/>
      <c r="L64" s="2"/>
    </row>
    <row r="65" spans="2:12" ht="18" customHeight="1">
      <c r="B65" s="2"/>
      <c r="C65" s="2"/>
      <c r="D65" s="2"/>
      <c r="E65" s="2"/>
      <c r="F65" s="34"/>
      <c r="G65" s="2"/>
      <c r="H65" s="2"/>
      <c r="I65" s="2"/>
      <c r="J65" s="39"/>
      <c r="K65" s="2"/>
      <c r="L65" s="2"/>
    </row>
    <row r="66" spans="2:12" ht="18" customHeight="1"/>
    <row r="67" spans="2:12" ht="19.899999999999999" customHeight="1"/>
  </sheetData>
  <mergeCells count="2">
    <mergeCell ref="C3:K3"/>
    <mergeCell ref="C4:J4"/>
  </mergeCells>
  <dataValidations count="1">
    <dataValidation type="date" operator="greaterThan" allowBlank="1" showInputMessage="1" showErrorMessage="1" error="Veuillez saisir une date correcte" sqref="D7:D61" xr:uid="{2DB9CBF5-089F-4564-B643-D23D426182B6}">
      <formula1>44561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F1206-68A9-4CBF-8A36-324E888FAAD7}">
  <sheetPr codeName="Feuil9"/>
  <dimension ref="A1:P70"/>
  <sheetViews>
    <sheetView topLeftCell="A7" zoomScale="115" zoomScaleNormal="115" workbookViewId="0">
      <selection activeCell="Q1" sqref="Q1"/>
    </sheetView>
  </sheetViews>
  <sheetFormatPr baseColWidth="10" defaultColWidth="8.85546875" defaultRowHeight="15"/>
  <cols>
    <col min="1" max="1" width="8.140625" style="1" customWidth="1"/>
    <col min="2" max="2" width="8.7109375" style="1" customWidth="1"/>
    <col min="3" max="3" width="9.42578125" style="1" customWidth="1"/>
    <col min="4" max="4" width="12.7109375" style="1" customWidth="1"/>
    <col min="5" max="5" width="11.5703125" style="1" customWidth="1"/>
    <col min="6" max="6" width="28.28515625" style="1" customWidth="1"/>
    <col min="7" max="7" width="19.85546875" style="1" customWidth="1"/>
    <col min="8" max="8" width="17.85546875" style="1" customWidth="1"/>
    <col min="9" max="9" width="13.7109375" style="1" customWidth="1"/>
    <col min="10" max="10" width="10.5703125" style="1" customWidth="1"/>
    <col min="11" max="11" width="21.28515625" style="1" customWidth="1"/>
    <col min="12" max="12" width="8.7109375" style="1" customWidth="1"/>
    <col min="13" max="24" width="12.7109375" style="1" customWidth="1"/>
    <col min="25" max="16384" width="8.85546875" style="1"/>
  </cols>
  <sheetData>
    <row r="1" spans="1:16" ht="22.15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3.9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26.45" customHeight="1">
      <c r="A3" s="5"/>
      <c r="B3" s="2"/>
      <c r="C3" s="61" t="s">
        <v>45</v>
      </c>
      <c r="D3" s="61"/>
      <c r="E3" s="61"/>
      <c r="F3" s="61"/>
      <c r="G3" s="61"/>
      <c r="H3" s="61"/>
      <c r="I3" s="61"/>
      <c r="J3" s="61"/>
      <c r="K3" s="61"/>
      <c r="L3" s="3"/>
      <c r="M3" s="5"/>
      <c r="N3" s="5"/>
      <c r="O3" s="5"/>
      <c r="P3" s="5"/>
    </row>
    <row r="4" spans="1:16" ht="16.899999999999999" customHeight="1">
      <c r="A4" s="5"/>
      <c r="B4" s="2"/>
      <c r="C4" s="60" t="s">
        <v>46</v>
      </c>
      <c r="D4" s="60"/>
      <c r="E4" s="60"/>
      <c r="F4" s="60"/>
      <c r="G4" s="60"/>
      <c r="H4" s="60"/>
      <c r="I4" s="60"/>
      <c r="J4" s="60"/>
      <c r="K4" s="11"/>
      <c r="L4" s="11"/>
      <c r="M4" s="5"/>
      <c r="N4" s="5"/>
      <c r="O4" s="5"/>
      <c r="P4" s="5"/>
    </row>
    <row r="5" spans="1:16">
      <c r="B5" s="2"/>
      <c r="C5" s="2"/>
      <c r="D5" s="2"/>
      <c r="E5" s="2"/>
      <c r="F5" s="2"/>
      <c r="G5" s="2"/>
      <c r="H5" s="2"/>
      <c r="I5" s="2"/>
      <c r="J5" s="2"/>
      <c r="K5" s="2"/>
      <c r="L5" s="3"/>
    </row>
    <row r="6" spans="1:16" ht="18" customHeight="1">
      <c r="A6" s="6"/>
      <c r="B6" s="2"/>
      <c r="C6" s="10" t="s">
        <v>7</v>
      </c>
      <c r="D6" s="10" t="s">
        <v>2</v>
      </c>
      <c r="E6" s="10" t="s">
        <v>14</v>
      </c>
      <c r="F6" s="10" t="s">
        <v>0</v>
      </c>
      <c r="G6" s="10" t="s">
        <v>15</v>
      </c>
      <c r="H6" s="10" t="s">
        <v>8</v>
      </c>
      <c r="I6" s="10" t="s">
        <v>5</v>
      </c>
      <c r="J6" s="10" t="s">
        <v>1</v>
      </c>
      <c r="K6" s="10" t="s">
        <v>6</v>
      </c>
      <c r="L6" s="2"/>
    </row>
    <row r="7" spans="1:16" ht="18" customHeight="1">
      <c r="A7" s="6"/>
      <c r="B7" s="2"/>
      <c r="C7" s="14">
        <f>C8+1</f>
        <v>60</v>
      </c>
      <c r="D7" s="15">
        <v>44698</v>
      </c>
      <c r="E7" s="35" t="s">
        <v>55</v>
      </c>
      <c r="F7" s="35" t="s">
        <v>18</v>
      </c>
      <c r="G7" s="35" t="s">
        <v>19</v>
      </c>
      <c r="H7" s="35" t="s">
        <v>21</v>
      </c>
      <c r="I7" s="36">
        <v>2.5</v>
      </c>
      <c r="J7" s="37">
        <v>10</v>
      </c>
      <c r="K7" s="41">
        <f>listeVentes[[#This Row],[Prix de vente]]*listeVentes[[#This Row],[Quantité]]</f>
        <v>25</v>
      </c>
      <c r="L7" s="2"/>
    </row>
    <row r="8" spans="1:16" ht="18" customHeight="1">
      <c r="A8" s="6"/>
      <c r="B8" s="2"/>
      <c r="C8" s="14">
        <f>C9+1</f>
        <v>59</v>
      </c>
      <c r="D8" s="15">
        <v>44698</v>
      </c>
      <c r="E8" s="35" t="s">
        <v>38</v>
      </c>
      <c r="F8" s="35" t="s">
        <v>64</v>
      </c>
      <c r="G8" s="35" t="s">
        <v>60</v>
      </c>
      <c r="H8" s="35" t="s">
        <v>32</v>
      </c>
      <c r="I8" s="36">
        <v>800</v>
      </c>
      <c r="J8" s="37">
        <v>3</v>
      </c>
      <c r="K8" s="41">
        <f>listeVentes[[#This Row],[Prix de vente]]*listeVentes[[#This Row],[Quantité]]</f>
        <v>2400</v>
      </c>
      <c r="L8" s="2"/>
    </row>
    <row r="9" spans="1:16" ht="18" customHeight="1">
      <c r="A9" s="6"/>
      <c r="B9" s="2"/>
      <c r="C9" s="14">
        <f>C10+1</f>
        <v>58</v>
      </c>
      <c r="D9" s="15">
        <v>44670</v>
      </c>
      <c r="E9" s="35" t="s">
        <v>52</v>
      </c>
      <c r="F9" s="35" t="s">
        <v>51</v>
      </c>
      <c r="G9" s="35" t="s">
        <v>58</v>
      </c>
      <c r="H9" s="35" t="s">
        <v>32</v>
      </c>
      <c r="I9" s="36">
        <v>650</v>
      </c>
      <c r="J9" s="37">
        <v>2</v>
      </c>
      <c r="K9" s="41">
        <f>listeVentes[[#This Row],[Prix de vente]]*listeVentes[[#This Row],[Quantité]]</f>
        <v>1300</v>
      </c>
      <c r="L9" s="2"/>
    </row>
    <row r="10" spans="1:16" ht="18" customHeight="1">
      <c r="A10" s="6"/>
      <c r="B10" s="2"/>
      <c r="C10" s="14">
        <f t="shared" ref="C10:C41" si="0">C11+1</f>
        <v>57</v>
      </c>
      <c r="D10" s="15">
        <v>44662</v>
      </c>
      <c r="E10" s="35" t="s">
        <v>54</v>
      </c>
      <c r="F10" s="35" t="s">
        <v>18</v>
      </c>
      <c r="G10" s="35" t="s">
        <v>19</v>
      </c>
      <c r="H10" s="35" t="s">
        <v>20</v>
      </c>
      <c r="I10" s="36">
        <v>0.2</v>
      </c>
      <c r="J10" s="37">
        <v>20</v>
      </c>
      <c r="K10" s="41">
        <f>listeVentes[[#This Row],[Prix de vente]]*listeVentes[[#This Row],[Quantité]]</f>
        <v>4</v>
      </c>
      <c r="L10" s="2"/>
    </row>
    <row r="11" spans="1:16" ht="18" customHeight="1">
      <c r="A11" s="6"/>
      <c r="B11" s="2"/>
      <c r="C11" s="14">
        <f t="shared" si="0"/>
        <v>56</v>
      </c>
      <c r="D11" s="15">
        <v>44687</v>
      </c>
      <c r="E11" s="35" t="s">
        <v>41</v>
      </c>
      <c r="F11" s="35" t="s">
        <v>61</v>
      </c>
      <c r="G11" s="35" t="s">
        <v>60</v>
      </c>
      <c r="H11" s="35" t="s">
        <v>32</v>
      </c>
      <c r="I11" s="36">
        <v>600</v>
      </c>
      <c r="J11" s="37">
        <v>10</v>
      </c>
      <c r="K11" s="41">
        <f>listeVentes[[#This Row],[Prix de vente]]*listeVentes[[#This Row],[Quantité]]</f>
        <v>6000</v>
      </c>
      <c r="L11" s="2"/>
    </row>
    <row r="12" spans="1:16" ht="18" customHeight="1">
      <c r="A12" s="6"/>
      <c r="B12" s="2"/>
      <c r="C12" s="14">
        <f t="shared" si="0"/>
        <v>55</v>
      </c>
      <c r="D12" s="15">
        <v>44655</v>
      </c>
      <c r="E12" s="35" t="s">
        <v>41</v>
      </c>
      <c r="F12" s="35" t="s">
        <v>61</v>
      </c>
      <c r="G12" s="35" t="s">
        <v>60</v>
      </c>
      <c r="H12" s="35" t="s">
        <v>32</v>
      </c>
      <c r="I12" s="36">
        <v>590</v>
      </c>
      <c r="J12" s="37">
        <v>20</v>
      </c>
      <c r="K12" s="41">
        <f>listeVentes[[#This Row],[Prix de vente]]*listeVentes[[#This Row],[Quantité]]</f>
        <v>11800</v>
      </c>
      <c r="L12" s="2"/>
    </row>
    <row r="13" spans="1:16" ht="18" customHeight="1">
      <c r="A13" s="6"/>
      <c r="B13" s="2"/>
      <c r="C13" s="14">
        <f t="shared" si="0"/>
        <v>54</v>
      </c>
      <c r="D13" s="15">
        <v>44623</v>
      </c>
      <c r="E13" s="35" t="s">
        <v>41</v>
      </c>
      <c r="F13" s="35" t="s">
        <v>61</v>
      </c>
      <c r="G13" s="35" t="s">
        <v>60</v>
      </c>
      <c r="H13" s="35" t="s">
        <v>32</v>
      </c>
      <c r="I13" s="36">
        <v>580</v>
      </c>
      <c r="J13" s="37">
        <v>20</v>
      </c>
      <c r="K13" s="41">
        <f>listeVentes[[#This Row],[Prix de vente]]*listeVentes[[#This Row],[Quantité]]</f>
        <v>11600</v>
      </c>
      <c r="L13" s="2"/>
    </row>
    <row r="14" spans="1:16" ht="18" customHeight="1">
      <c r="A14" s="6"/>
      <c r="B14" s="2"/>
      <c r="C14" s="14">
        <f t="shared" si="0"/>
        <v>53</v>
      </c>
      <c r="D14" s="15">
        <v>44598</v>
      </c>
      <c r="E14" s="35" t="s">
        <v>41</v>
      </c>
      <c r="F14" s="35" t="s">
        <v>61</v>
      </c>
      <c r="G14" s="35" t="s">
        <v>60</v>
      </c>
      <c r="H14" s="35" t="s">
        <v>32</v>
      </c>
      <c r="I14" s="36">
        <v>600</v>
      </c>
      <c r="J14" s="37">
        <v>5</v>
      </c>
      <c r="K14" s="41">
        <f>listeVentes[[#This Row],[Prix de vente]]*listeVentes[[#This Row],[Quantité]]</f>
        <v>3000</v>
      </c>
      <c r="L14" s="2"/>
    </row>
    <row r="15" spans="1:16" ht="18" customHeight="1">
      <c r="A15" s="6"/>
      <c r="B15" s="2"/>
      <c r="C15" s="14">
        <f t="shared" si="0"/>
        <v>52</v>
      </c>
      <c r="D15" s="15">
        <v>44562</v>
      </c>
      <c r="E15" s="35" t="s">
        <v>41</v>
      </c>
      <c r="F15" s="35" t="s">
        <v>61</v>
      </c>
      <c r="G15" s="35" t="s">
        <v>60</v>
      </c>
      <c r="H15" s="35" t="s">
        <v>32</v>
      </c>
      <c r="I15" s="36">
        <v>600</v>
      </c>
      <c r="J15" s="37">
        <v>5</v>
      </c>
      <c r="K15" s="41">
        <f>listeVentes[[#This Row],[Prix de vente]]*listeVentes[[#This Row],[Quantité]]</f>
        <v>3000</v>
      </c>
      <c r="L15" s="2"/>
    </row>
    <row r="16" spans="1:16" ht="18" customHeight="1">
      <c r="A16" s="6"/>
      <c r="B16" s="2"/>
      <c r="C16" s="14">
        <f t="shared" si="0"/>
        <v>51</v>
      </c>
      <c r="D16" s="15">
        <v>44686</v>
      </c>
      <c r="E16" s="35" t="s">
        <v>40</v>
      </c>
      <c r="F16" s="35" t="s">
        <v>62</v>
      </c>
      <c r="G16" s="35" t="s">
        <v>60</v>
      </c>
      <c r="H16" s="35" t="s">
        <v>32</v>
      </c>
      <c r="I16" s="36">
        <v>220</v>
      </c>
      <c r="J16" s="37">
        <v>3</v>
      </c>
      <c r="K16" s="41">
        <f>listeVentes[[#This Row],[Prix de vente]]*listeVentes[[#This Row],[Quantité]]</f>
        <v>660</v>
      </c>
      <c r="L16" s="2"/>
    </row>
    <row r="17" spans="1:12" ht="18" customHeight="1">
      <c r="A17" s="6"/>
      <c r="B17" s="2"/>
      <c r="C17" s="14">
        <f t="shared" si="0"/>
        <v>50</v>
      </c>
      <c r="D17" s="15">
        <v>44655</v>
      </c>
      <c r="E17" s="35" t="s">
        <v>40</v>
      </c>
      <c r="F17" s="35" t="s">
        <v>62</v>
      </c>
      <c r="G17" s="35" t="s">
        <v>60</v>
      </c>
      <c r="H17" s="35" t="s">
        <v>32</v>
      </c>
      <c r="I17" s="36">
        <v>200</v>
      </c>
      <c r="J17" s="37">
        <v>5</v>
      </c>
      <c r="K17" s="41">
        <f>listeVentes[[#This Row],[Prix de vente]]*listeVentes[[#This Row],[Quantité]]</f>
        <v>1000</v>
      </c>
      <c r="L17" s="2"/>
    </row>
    <row r="18" spans="1:12" ht="18" customHeight="1">
      <c r="A18" s="6"/>
      <c r="B18" s="2"/>
      <c r="C18" s="14">
        <f t="shared" si="0"/>
        <v>49</v>
      </c>
      <c r="D18" s="15">
        <v>44625</v>
      </c>
      <c r="E18" s="35" t="s">
        <v>40</v>
      </c>
      <c r="F18" s="35" t="s">
        <v>62</v>
      </c>
      <c r="G18" s="35" t="s">
        <v>60</v>
      </c>
      <c r="H18" s="35" t="s">
        <v>32</v>
      </c>
      <c r="I18" s="36">
        <v>250</v>
      </c>
      <c r="J18" s="37">
        <v>10</v>
      </c>
      <c r="K18" s="41">
        <f>listeVentes[[#This Row],[Prix de vente]]*listeVentes[[#This Row],[Quantité]]</f>
        <v>2500</v>
      </c>
      <c r="L18" s="2"/>
    </row>
    <row r="19" spans="1:12" ht="18" customHeight="1">
      <c r="A19" s="6"/>
      <c r="B19" s="2"/>
      <c r="C19" s="14">
        <f t="shared" si="0"/>
        <v>48</v>
      </c>
      <c r="D19" s="15">
        <v>44597</v>
      </c>
      <c r="E19" s="35" t="s">
        <v>40</v>
      </c>
      <c r="F19" s="35" t="s">
        <v>62</v>
      </c>
      <c r="G19" s="35" t="s">
        <v>60</v>
      </c>
      <c r="H19" s="35" t="s">
        <v>32</v>
      </c>
      <c r="I19" s="36">
        <v>200</v>
      </c>
      <c r="J19" s="37">
        <v>5</v>
      </c>
      <c r="K19" s="41">
        <f>listeVentes[[#This Row],[Prix de vente]]*listeVentes[[#This Row],[Quantité]]</f>
        <v>1000</v>
      </c>
      <c r="L19" s="2"/>
    </row>
    <row r="20" spans="1:12" ht="18" customHeight="1">
      <c r="A20" s="6"/>
      <c r="B20" s="2"/>
      <c r="C20" s="14">
        <f t="shared" si="0"/>
        <v>47</v>
      </c>
      <c r="D20" s="15">
        <v>44562</v>
      </c>
      <c r="E20" s="35" t="s">
        <v>40</v>
      </c>
      <c r="F20" s="35" t="s">
        <v>62</v>
      </c>
      <c r="G20" s="35" t="s">
        <v>60</v>
      </c>
      <c r="H20" s="35" t="s">
        <v>32</v>
      </c>
      <c r="I20" s="36">
        <v>200</v>
      </c>
      <c r="J20" s="37">
        <v>5</v>
      </c>
      <c r="K20" s="41">
        <f>listeVentes[[#This Row],[Prix de vente]]*listeVentes[[#This Row],[Quantité]]</f>
        <v>1000</v>
      </c>
      <c r="L20" s="2"/>
    </row>
    <row r="21" spans="1:12" ht="18" customHeight="1">
      <c r="A21" s="6"/>
      <c r="B21" s="2"/>
      <c r="C21" s="14">
        <f t="shared" si="0"/>
        <v>46</v>
      </c>
      <c r="D21" s="15">
        <v>44685</v>
      </c>
      <c r="E21" s="35" t="s">
        <v>39</v>
      </c>
      <c r="F21" s="35" t="s">
        <v>63</v>
      </c>
      <c r="G21" s="35" t="s">
        <v>60</v>
      </c>
      <c r="H21" s="35" t="s">
        <v>32</v>
      </c>
      <c r="I21" s="36">
        <v>400</v>
      </c>
      <c r="J21" s="37">
        <v>2</v>
      </c>
      <c r="K21" s="41">
        <f>listeVentes[[#This Row],[Prix de vente]]*listeVentes[[#This Row],[Quantité]]</f>
        <v>800</v>
      </c>
      <c r="L21" s="2"/>
    </row>
    <row r="22" spans="1:12" ht="18" customHeight="1">
      <c r="A22" s="6"/>
      <c r="B22" s="2"/>
      <c r="C22" s="14">
        <f t="shared" si="0"/>
        <v>45</v>
      </c>
      <c r="D22" s="15">
        <v>44655</v>
      </c>
      <c r="E22" s="35" t="s">
        <v>39</v>
      </c>
      <c r="F22" s="35" t="s">
        <v>63</v>
      </c>
      <c r="G22" s="35" t="s">
        <v>60</v>
      </c>
      <c r="H22" s="35" t="s">
        <v>32</v>
      </c>
      <c r="I22" s="36">
        <v>400</v>
      </c>
      <c r="J22" s="37">
        <v>7</v>
      </c>
      <c r="K22" s="41">
        <f>listeVentes[[#This Row],[Prix de vente]]*listeVentes[[#This Row],[Quantité]]</f>
        <v>2800</v>
      </c>
      <c r="L22" s="2"/>
    </row>
    <row r="23" spans="1:12" ht="18" customHeight="1">
      <c r="A23" s="6"/>
      <c r="B23" s="2"/>
      <c r="C23" s="14">
        <f t="shared" si="0"/>
        <v>44</v>
      </c>
      <c r="D23" s="15">
        <v>44624</v>
      </c>
      <c r="E23" s="35" t="s">
        <v>39</v>
      </c>
      <c r="F23" s="35" t="s">
        <v>63</v>
      </c>
      <c r="G23" s="35" t="s">
        <v>60</v>
      </c>
      <c r="H23" s="35" t="s">
        <v>32</v>
      </c>
      <c r="I23" s="36">
        <v>400</v>
      </c>
      <c r="J23" s="37">
        <v>5</v>
      </c>
      <c r="K23" s="41">
        <f>listeVentes[[#This Row],[Prix de vente]]*listeVentes[[#This Row],[Quantité]]</f>
        <v>2000</v>
      </c>
      <c r="L23" s="2"/>
    </row>
    <row r="24" spans="1:12" ht="18" customHeight="1">
      <c r="A24" s="6"/>
      <c r="B24" s="2"/>
      <c r="C24" s="14">
        <f t="shared" si="0"/>
        <v>43</v>
      </c>
      <c r="D24" s="15">
        <v>44612</v>
      </c>
      <c r="E24" s="35" t="s">
        <v>39</v>
      </c>
      <c r="F24" s="35" t="s">
        <v>63</v>
      </c>
      <c r="G24" s="35" t="s">
        <v>60</v>
      </c>
      <c r="H24" s="35" t="s">
        <v>32</v>
      </c>
      <c r="I24" s="36">
        <v>400</v>
      </c>
      <c r="J24" s="37">
        <v>5</v>
      </c>
      <c r="K24" s="41">
        <f>listeVentes[[#This Row],[Prix de vente]]*listeVentes[[#This Row],[Quantité]]</f>
        <v>2000</v>
      </c>
      <c r="L24" s="2"/>
    </row>
    <row r="25" spans="1:12" ht="18" customHeight="1">
      <c r="A25" s="6"/>
      <c r="B25" s="2"/>
      <c r="C25" s="14">
        <f t="shared" si="0"/>
        <v>42</v>
      </c>
      <c r="D25" s="15">
        <v>44563</v>
      </c>
      <c r="E25" s="35" t="s">
        <v>39</v>
      </c>
      <c r="F25" s="35" t="s">
        <v>63</v>
      </c>
      <c r="G25" s="35" t="s">
        <v>60</v>
      </c>
      <c r="H25" s="35" t="s">
        <v>32</v>
      </c>
      <c r="I25" s="36">
        <v>400</v>
      </c>
      <c r="J25" s="37">
        <v>5</v>
      </c>
      <c r="K25" s="41">
        <f>listeVentes[[#This Row],[Prix de vente]]*listeVentes[[#This Row],[Quantité]]</f>
        <v>2000</v>
      </c>
      <c r="L25" s="2"/>
    </row>
    <row r="26" spans="1:12" ht="18" customHeight="1">
      <c r="A26" s="6"/>
      <c r="B26" s="2"/>
      <c r="C26" s="14">
        <f t="shared" si="0"/>
        <v>41</v>
      </c>
      <c r="D26" s="15">
        <v>44696</v>
      </c>
      <c r="E26" s="35" t="s">
        <v>38</v>
      </c>
      <c r="F26" s="35" t="s">
        <v>65</v>
      </c>
      <c r="G26" s="35" t="s">
        <v>60</v>
      </c>
      <c r="H26" s="35" t="s">
        <v>32</v>
      </c>
      <c r="I26" s="36">
        <v>800</v>
      </c>
      <c r="J26" s="37">
        <v>2</v>
      </c>
      <c r="K26" s="41">
        <f>listeVentes[[#This Row],[Prix de vente]]*listeVentes[[#This Row],[Quantité]]</f>
        <v>1600</v>
      </c>
      <c r="L26" s="2"/>
    </row>
    <row r="27" spans="1:12" ht="18" customHeight="1">
      <c r="A27" s="6"/>
      <c r="B27" s="2"/>
      <c r="C27" s="14">
        <f t="shared" si="0"/>
        <v>40</v>
      </c>
      <c r="D27" s="15">
        <v>44655</v>
      </c>
      <c r="E27" s="35" t="s">
        <v>38</v>
      </c>
      <c r="F27" s="35" t="s">
        <v>65</v>
      </c>
      <c r="G27" s="35" t="s">
        <v>60</v>
      </c>
      <c r="H27" s="35" t="s">
        <v>32</v>
      </c>
      <c r="I27" s="36">
        <v>800</v>
      </c>
      <c r="J27" s="37">
        <v>2</v>
      </c>
      <c r="K27" s="41">
        <f>listeVentes[[#This Row],[Prix de vente]]*listeVentes[[#This Row],[Quantité]]</f>
        <v>1600</v>
      </c>
      <c r="L27" s="2"/>
    </row>
    <row r="28" spans="1:12" ht="18" customHeight="1">
      <c r="A28" s="6"/>
      <c r="B28" s="2"/>
      <c r="C28" s="14">
        <f t="shared" si="0"/>
        <v>39</v>
      </c>
      <c r="D28" s="15">
        <v>44646</v>
      </c>
      <c r="E28" s="35" t="s">
        <v>38</v>
      </c>
      <c r="F28" s="35" t="s">
        <v>65</v>
      </c>
      <c r="G28" s="35" t="s">
        <v>60</v>
      </c>
      <c r="H28" s="35" t="s">
        <v>32</v>
      </c>
      <c r="I28" s="36">
        <v>800</v>
      </c>
      <c r="J28" s="37">
        <v>6</v>
      </c>
      <c r="K28" s="41">
        <f>listeVentes[[#This Row],[Prix de vente]]*listeVentes[[#This Row],[Quantité]]</f>
        <v>4800</v>
      </c>
      <c r="L28" s="2"/>
    </row>
    <row r="29" spans="1:12" ht="18" customHeight="1">
      <c r="A29" s="6"/>
      <c r="B29" s="2"/>
      <c r="C29" s="14">
        <f t="shared" si="0"/>
        <v>38</v>
      </c>
      <c r="D29" s="15">
        <v>44598</v>
      </c>
      <c r="E29" s="35" t="s">
        <v>38</v>
      </c>
      <c r="F29" s="35" t="s">
        <v>65</v>
      </c>
      <c r="G29" s="35" t="s">
        <v>60</v>
      </c>
      <c r="H29" s="35" t="s">
        <v>32</v>
      </c>
      <c r="I29" s="36">
        <v>800</v>
      </c>
      <c r="J29" s="37">
        <v>6</v>
      </c>
      <c r="K29" s="41">
        <f>listeVentes[[#This Row],[Prix de vente]]*listeVentes[[#This Row],[Quantité]]</f>
        <v>4800</v>
      </c>
      <c r="L29" s="2"/>
    </row>
    <row r="30" spans="1:12" ht="18" customHeight="1">
      <c r="A30" s="6"/>
      <c r="B30" s="2"/>
      <c r="C30" s="14">
        <f t="shared" si="0"/>
        <v>37</v>
      </c>
      <c r="D30" s="15">
        <v>44563</v>
      </c>
      <c r="E30" s="35" t="s">
        <v>38</v>
      </c>
      <c r="F30" s="35" t="s">
        <v>65</v>
      </c>
      <c r="G30" s="35" t="s">
        <v>60</v>
      </c>
      <c r="H30" s="35" t="s">
        <v>32</v>
      </c>
      <c r="I30" s="36">
        <v>800</v>
      </c>
      <c r="J30" s="37">
        <v>2</v>
      </c>
      <c r="K30" s="41">
        <f>listeVentes[[#This Row],[Prix de vente]]*listeVentes[[#This Row],[Quantité]]</f>
        <v>1600</v>
      </c>
      <c r="L30" s="2"/>
    </row>
    <row r="31" spans="1:12" ht="18" customHeight="1">
      <c r="A31" s="6"/>
      <c r="B31" s="2"/>
      <c r="C31" s="14">
        <f t="shared" si="0"/>
        <v>36</v>
      </c>
      <c r="D31" s="15">
        <v>44686</v>
      </c>
      <c r="E31" s="35" t="s">
        <v>36</v>
      </c>
      <c r="F31" s="35" t="s">
        <v>50</v>
      </c>
      <c r="G31" s="35" t="s">
        <v>59</v>
      </c>
      <c r="H31" s="35" t="s">
        <v>32</v>
      </c>
      <c r="I31" s="36">
        <v>550</v>
      </c>
      <c r="J31" s="37">
        <v>2</v>
      </c>
      <c r="K31" s="41">
        <f>listeVentes[[#This Row],[Prix de vente]]*listeVentes[[#This Row],[Quantité]]</f>
        <v>1100</v>
      </c>
      <c r="L31" s="2"/>
    </row>
    <row r="32" spans="1:12" ht="18" customHeight="1">
      <c r="A32" s="6"/>
      <c r="B32" s="2"/>
      <c r="C32" s="14">
        <f t="shared" si="0"/>
        <v>35</v>
      </c>
      <c r="D32" s="15">
        <v>44655</v>
      </c>
      <c r="E32" s="35" t="s">
        <v>36</v>
      </c>
      <c r="F32" s="35" t="s">
        <v>50</v>
      </c>
      <c r="G32" s="35" t="s">
        <v>59</v>
      </c>
      <c r="H32" s="35" t="s">
        <v>32</v>
      </c>
      <c r="I32" s="36">
        <v>550</v>
      </c>
      <c r="J32" s="37">
        <v>10</v>
      </c>
      <c r="K32" s="41">
        <f>listeVentes[[#This Row],[Prix de vente]]*listeVentes[[#This Row],[Quantité]]</f>
        <v>5500</v>
      </c>
      <c r="L32" s="2"/>
    </row>
    <row r="33" spans="1:12" ht="18" customHeight="1">
      <c r="A33" s="6"/>
      <c r="B33" s="2"/>
      <c r="C33" s="14">
        <f t="shared" si="0"/>
        <v>34</v>
      </c>
      <c r="D33" s="15">
        <v>44625</v>
      </c>
      <c r="E33" s="35" t="s">
        <v>36</v>
      </c>
      <c r="F33" s="35" t="s">
        <v>50</v>
      </c>
      <c r="G33" s="35" t="s">
        <v>59</v>
      </c>
      <c r="H33" s="35" t="s">
        <v>32</v>
      </c>
      <c r="I33" s="36">
        <v>520</v>
      </c>
      <c r="J33" s="37">
        <v>6</v>
      </c>
      <c r="K33" s="41">
        <f>listeVentes[[#This Row],[Prix de vente]]*listeVentes[[#This Row],[Quantité]]</f>
        <v>3120</v>
      </c>
      <c r="L33" s="2"/>
    </row>
    <row r="34" spans="1:12" ht="18" customHeight="1">
      <c r="A34" s="6"/>
      <c r="B34" s="2"/>
      <c r="C34" s="14">
        <f t="shared" si="0"/>
        <v>33</v>
      </c>
      <c r="D34" s="15">
        <v>44601</v>
      </c>
      <c r="E34" s="35" t="s">
        <v>36</v>
      </c>
      <c r="F34" s="35" t="s">
        <v>50</v>
      </c>
      <c r="G34" s="35" t="s">
        <v>59</v>
      </c>
      <c r="H34" s="35" t="s">
        <v>32</v>
      </c>
      <c r="I34" s="36">
        <v>600</v>
      </c>
      <c r="J34" s="37">
        <v>20</v>
      </c>
      <c r="K34" s="41">
        <f>listeVentes[[#This Row],[Prix de vente]]*listeVentes[[#This Row],[Quantité]]</f>
        <v>12000</v>
      </c>
      <c r="L34" s="2"/>
    </row>
    <row r="35" spans="1:12" ht="18" customHeight="1">
      <c r="A35" s="6"/>
      <c r="B35" s="2"/>
      <c r="C35" s="14">
        <f t="shared" si="0"/>
        <v>32</v>
      </c>
      <c r="D35" s="15">
        <v>44567</v>
      </c>
      <c r="E35" s="35" t="s">
        <v>36</v>
      </c>
      <c r="F35" s="35" t="s">
        <v>50</v>
      </c>
      <c r="G35" s="35" t="s">
        <v>59</v>
      </c>
      <c r="H35" s="35" t="s">
        <v>32</v>
      </c>
      <c r="I35" s="36">
        <v>550</v>
      </c>
      <c r="J35" s="37">
        <v>6</v>
      </c>
      <c r="K35" s="41">
        <f>listeVentes[[#This Row],[Prix de vente]]*listeVentes[[#This Row],[Quantité]]</f>
        <v>3300</v>
      </c>
      <c r="L35" s="2"/>
    </row>
    <row r="36" spans="1:12" ht="18" customHeight="1">
      <c r="A36" s="6"/>
      <c r="B36" s="2"/>
      <c r="C36" s="14">
        <f t="shared" si="0"/>
        <v>31</v>
      </c>
      <c r="D36" s="15">
        <v>44684</v>
      </c>
      <c r="E36" s="35" t="s">
        <v>35</v>
      </c>
      <c r="F36" s="35" t="s">
        <v>49</v>
      </c>
      <c r="G36" s="35" t="s">
        <v>59</v>
      </c>
      <c r="H36" s="35" t="s">
        <v>32</v>
      </c>
      <c r="I36" s="36">
        <v>800</v>
      </c>
      <c r="J36" s="37">
        <v>10</v>
      </c>
      <c r="K36" s="41">
        <f>listeVentes[[#This Row],[Prix de vente]]*listeVentes[[#This Row],[Quantité]]</f>
        <v>8000</v>
      </c>
      <c r="L36" s="2"/>
    </row>
    <row r="37" spans="1:12" ht="18" customHeight="1">
      <c r="A37" s="6"/>
      <c r="B37" s="2"/>
      <c r="C37" s="14">
        <f t="shared" si="0"/>
        <v>30</v>
      </c>
      <c r="D37" s="15">
        <v>44672</v>
      </c>
      <c r="E37" s="35" t="s">
        <v>35</v>
      </c>
      <c r="F37" s="35" t="s">
        <v>49</v>
      </c>
      <c r="G37" s="35" t="s">
        <v>59</v>
      </c>
      <c r="H37" s="35" t="s">
        <v>32</v>
      </c>
      <c r="I37" s="36">
        <v>800</v>
      </c>
      <c r="J37" s="37">
        <v>5</v>
      </c>
      <c r="K37" s="41">
        <f>listeVentes[[#This Row],[Prix de vente]]*listeVentes[[#This Row],[Quantité]]</f>
        <v>4000</v>
      </c>
      <c r="L37" s="2"/>
    </row>
    <row r="38" spans="1:12" ht="18" customHeight="1">
      <c r="A38" s="6"/>
      <c r="B38" s="2"/>
      <c r="C38" s="14">
        <f t="shared" si="0"/>
        <v>29</v>
      </c>
      <c r="D38" s="15">
        <v>44626</v>
      </c>
      <c r="E38" s="35" t="s">
        <v>35</v>
      </c>
      <c r="F38" s="35" t="s">
        <v>49</v>
      </c>
      <c r="G38" s="35" t="s">
        <v>59</v>
      </c>
      <c r="H38" s="35" t="s">
        <v>32</v>
      </c>
      <c r="I38" s="36">
        <v>820</v>
      </c>
      <c r="J38" s="37">
        <v>10</v>
      </c>
      <c r="K38" s="41">
        <f>listeVentes[[#This Row],[Prix de vente]]*listeVentes[[#This Row],[Quantité]]</f>
        <v>8200</v>
      </c>
      <c r="L38" s="2"/>
    </row>
    <row r="39" spans="1:12" ht="18" customHeight="1">
      <c r="A39" s="6"/>
      <c r="B39" s="2"/>
      <c r="C39" s="14">
        <f t="shared" si="0"/>
        <v>28</v>
      </c>
      <c r="D39" s="15">
        <v>44597</v>
      </c>
      <c r="E39" s="35" t="s">
        <v>35</v>
      </c>
      <c r="F39" s="35" t="s">
        <v>49</v>
      </c>
      <c r="G39" s="35" t="s">
        <v>59</v>
      </c>
      <c r="H39" s="35" t="s">
        <v>32</v>
      </c>
      <c r="I39" s="36">
        <v>820</v>
      </c>
      <c r="J39" s="37">
        <v>5</v>
      </c>
      <c r="K39" s="41">
        <f>listeVentes[[#This Row],[Prix de vente]]*listeVentes[[#This Row],[Quantité]]</f>
        <v>4100</v>
      </c>
      <c r="L39" s="2"/>
    </row>
    <row r="40" spans="1:12" ht="18" customHeight="1">
      <c r="A40" s="6"/>
      <c r="B40" s="2"/>
      <c r="C40" s="14">
        <f t="shared" si="0"/>
        <v>27</v>
      </c>
      <c r="D40" s="15">
        <v>44563</v>
      </c>
      <c r="E40" s="35" t="s">
        <v>35</v>
      </c>
      <c r="F40" s="35" t="s">
        <v>49</v>
      </c>
      <c r="G40" s="35" t="s">
        <v>59</v>
      </c>
      <c r="H40" s="35" t="s">
        <v>32</v>
      </c>
      <c r="I40" s="36">
        <v>800</v>
      </c>
      <c r="J40" s="37">
        <v>10</v>
      </c>
      <c r="K40" s="41">
        <f>listeVentes[[#This Row],[Prix de vente]]*listeVentes[[#This Row],[Quantité]]</f>
        <v>8000</v>
      </c>
      <c r="L40" s="2"/>
    </row>
    <row r="41" spans="1:12" ht="18" customHeight="1">
      <c r="A41" s="6"/>
      <c r="B41" s="2"/>
      <c r="C41" s="14">
        <f t="shared" si="0"/>
        <v>26</v>
      </c>
      <c r="D41" s="15">
        <v>44687</v>
      </c>
      <c r="E41" s="35" t="s">
        <v>53</v>
      </c>
      <c r="F41" s="35" t="s">
        <v>66</v>
      </c>
      <c r="G41" s="35" t="s">
        <v>58</v>
      </c>
      <c r="H41" s="35" t="s">
        <v>32</v>
      </c>
      <c r="I41" s="36">
        <v>1500</v>
      </c>
      <c r="J41" s="37">
        <v>12</v>
      </c>
      <c r="K41" s="41">
        <f>listeVentes[[#This Row],[Prix de vente]]*listeVentes[[#This Row],[Quantité]]</f>
        <v>18000</v>
      </c>
      <c r="L41" s="2"/>
    </row>
    <row r="42" spans="1:12" ht="18" customHeight="1">
      <c r="A42" s="6"/>
      <c r="B42" s="2"/>
      <c r="C42" s="14">
        <f t="shared" ref="C42:C62" si="1">C43+1</f>
        <v>25</v>
      </c>
      <c r="D42" s="15">
        <v>44655</v>
      </c>
      <c r="E42" s="35" t="s">
        <v>53</v>
      </c>
      <c r="F42" s="35" t="s">
        <v>66</v>
      </c>
      <c r="G42" s="35" t="s">
        <v>58</v>
      </c>
      <c r="H42" s="35" t="s">
        <v>32</v>
      </c>
      <c r="I42" s="36">
        <v>1500</v>
      </c>
      <c r="J42" s="37">
        <v>30</v>
      </c>
      <c r="K42" s="41">
        <f>listeVentes[[#This Row],[Prix de vente]]*listeVentes[[#This Row],[Quantité]]</f>
        <v>45000</v>
      </c>
      <c r="L42" s="2"/>
    </row>
    <row r="43" spans="1:12" ht="18" customHeight="1">
      <c r="A43" s="6"/>
      <c r="B43" s="2"/>
      <c r="C43" s="14">
        <f t="shared" si="1"/>
        <v>24</v>
      </c>
      <c r="D43" s="15">
        <v>44626</v>
      </c>
      <c r="E43" s="35" t="s">
        <v>53</v>
      </c>
      <c r="F43" s="35" t="s">
        <v>66</v>
      </c>
      <c r="G43" s="35" t="s">
        <v>58</v>
      </c>
      <c r="H43" s="35" t="s">
        <v>32</v>
      </c>
      <c r="I43" s="36">
        <v>1500</v>
      </c>
      <c r="J43" s="37">
        <v>15</v>
      </c>
      <c r="K43" s="41">
        <f>listeVentes[[#This Row],[Prix de vente]]*listeVentes[[#This Row],[Quantité]]</f>
        <v>22500</v>
      </c>
      <c r="L43" s="2"/>
    </row>
    <row r="44" spans="1:12" ht="18" customHeight="1">
      <c r="A44" s="6"/>
      <c r="B44" s="2"/>
      <c r="C44" s="14">
        <f t="shared" si="1"/>
        <v>23</v>
      </c>
      <c r="D44" s="15">
        <v>44594</v>
      </c>
      <c r="E44" s="35" t="s">
        <v>53</v>
      </c>
      <c r="F44" s="35" t="s">
        <v>66</v>
      </c>
      <c r="G44" s="35" t="s">
        <v>58</v>
      </c>
      <c r="H44" s="35" t="s">
        <v>32</v>
      </c>
      <c r="I44" s="36">
        <v>1500</v>
      </c>
      <c r="J44" s="37">
        <v>20</v>
      </c>
      <c r="K44" s="41">
        <f>listeVentes[[#This Row],[Prix de vente]]*listeVentes[[#This Row],[Quantité]]</f>
        <v>30000</v>
      </c>
      <c r="L44" s="2"/>
    </row>
    <row r="45" spans="1:12" ht="18" customHeight="1">
      <c r="A45" s="6"/>
      <c r="B45" s="2"/>
      <c r="C45" s="14">
        <f t="shared" si="1"/>
        <v>22</v>
      </c>
      <c r="D45" s="15">
        <v>44563</v>
      </c>
      <c r="E45" s="35" t="s">
        <v>53</v>
      </c>
      <c r="F45" s="35" t="s">
        <v>66</v>
      </c>
      <c r="G45" s="35" t="s">
        <v>58</v>
      </c>
      <c r="H45" s="35" t="s">
        <v>32</v>
      </c>
      <c r="I45" s="36">
        <v>1400</v>
      </c>
      <c r="J45" s="37">
        <v>10</v>
      </c>
      <c r="K45" s="41">
        <f>listeVentes[[#This Row],[Prix de vente]]*listeVentes[[#This Row],[Quantité]]</f>
        <v>14000</v>
      </c>
      <c r="L45" s="2"/>
    </row>
    <row r="46" spans="1:12" ht="18" customHeight="1">
      <c r="A46" s="6"/>
      <c r="B46" s="2"/>
      <c r="C46" s="14">
        <f t="shared" si="1"/>
        <v>21</v>
      </c>
      <c r="D46" s="15">
        <v>44687</v>
      </c>
      <c r="E46" s="35" t="s">
        <v>52</v>
      </c>
      <c r="F46" s="35" t="s">
        <v>51</v>
      </c>
      <c r="G46" s="35" t="s">
        <v>58</v>
      </c>
      <c r="H46" s="35" t="s">
        <v>32</v>
      </c>
      <c r="I46" s="36">
        <v>720</v>
      </c>
      <c r="J46" s="37">
        <v>23</v>
      </c>
      <c r="K46" s="41">
        <f>listeVentes[[#This Row],[Prix de vente]]*listeVentes[[#This Row],[Quantité]]</f>
        <v>16560</v>
      </c>
      <c r="L46" s="2"/>
    </row>
    <row r="47" spans="1:12" ht="18" customHeight="1">
      <c r="A47" s="6"/>
      <c r="B47" s="2"/>
      <c r="C47" s="14">
        <f t="shared" si="1"/>
        <v>20</v>
      </c>
      <c r="D47" s="15">
        <v>44660</v>
      </c>
      <c r="E47" s="35" t="s">
        <v>52</v>
      </c>
      <c r="F47" s="35" t="s">
        <v>51</v>
      </c>
      <c r="G47" s="35" t="s">
        <v>58</v>
      </c>
      <c r="H47" s="35" t="s">
        <v>32</v>
      </c>
      <c r="I47" s="36">
        <v>680</v>
      </c>
      <c r="J47" s="37">
        <v>2</v>
      </c>
      <c r="K47" s="41">
        <f>listeVentes[[#This Row],[Prix de vente]]*listeVentes[[#This Row],[Quantité]]</f>
        <v>1360</v>
      </c>
      <c r="L47" s="2"/>
    </row>
    <row r="48" spans="1:12" ht="18" customHeight="1">
      <c r="A48" s="6"/>
      <c r="B48" s="2"/>
      <c r="C48" s="14">
        <f t="shared" si="1"/>
        <v>19</v>
      </c>
      <c r="D48" s="15">
        <v>44626</v>
      </c>
      <c r="E48" s="35" t="s">
        <v>52</v>
      </c>
      <c r="F48" s="35" t="s">
        <v>51</v>
      </c>
      <c r="G48" s="35" t="s">
        <v>58</v>
      </c>
      <c r="H48" s="35" t="s">
        <v>32</v>
      </c>
      <c r="I48" s="36">
        <v>700</v>
      </c>
      <c r="J48" s="37">
        <v>20</v>
      </c>
      <c r="K48" s="41">
        <f>listeVentes[[#This Row],[Prix de vente]]*listeVentes[[#This Row],[Quantité]]</f>
        <v>14000</v>
      </c>
      <c r="L48" s="2"/>
    </row>
    <row r="49" spans="1:12" ht="18" customHeight="1">
      <c r="A49" s="6"/>
      <c r="B49" s="2"/>
      <c r="C49" s="14">
        <f t="shared" si="1"/>
        <v>18</v>
      </c>
      <c r="D49" s="15">
        <v>44614</v>
      </c>
      <c r="E49" s="35" t="s">
        <v>52</v>
      </c>
      <c r="F49" s="35" t="s">
        <v>51</v>
      </c>
      <c r="G49" s="35" t="s">
        <v>58</v>
      </c>
      <c r="H49" s="35" t="s">
        <v>32</v>
      </c>
      <c r="I49" s="36">
        <v>670</v>
      </c>
      <c r="J49" s="37">
        <v>5</v>
      </c>
      <c r="K49" s="41">
        <f>listeVentes[[#This Row],[Prix de vente]]*listeVentes[[#This Row],[Quantité]]</f>
        <v>3350</v>
      </c>
      <c r="L49" s="2"/>
    </row>
    <row r="50" spans="1:12" ht="18" customHeight="1">
      <c r="A50" s="6"/>
      <c r="B50" s="2"/>
      <c r="C50" s="14">
        <f t="shared" si="1"/>
        <v>17</v>
      </c>
      <c r="D50" s="15">
        <v>44587</v>
      </c>
      <c r="E50" s="35" t="s">
        <v>52</v>
      </c>
      <c r="F50" s="35" t="s">
        <v>51</v>
      </c>
      <c r="G50" s="35" t="s">
        <v>58</v>
      </c>
      <c r="H50" s="35" t="s">
        <v>32</v>
      </c>
      <c r="I50" s="36">
        <v>680</v>
      </c>
      <c r="J50" s="37">
        <v>8</v>
      </c>
      <c r="K50" s="41">
        <f>listeVentes[[#This Row],[Prix de vente]]*listeVentes[[#This Row],[Quantité]]</f>
        <v>5440</v>
      </c>
      <c r="L50" s="2"/>
    </row>
    <row r="51" spans="1:12" ht="18" customHeight="1">
      <c r="A51" s="6"/>
      <c r="B51" s="2"/>
      <c r="C51" s="14">
        <f t="shared" si="1"/>
        <v>16</v>
      </c>
      <c r="D51" s="15">
        <v>44673</v>
      </c>
      <c r="E51" s="35" t="s">
        <v>56</v>
      </c>
      <c r="F51" s="35" t="s">
        <v>18</v>
      </c>
      <c r="G51" s="35" t="s">
        <v>19</v>
      </c>
      <c r="H51" s="35" t="s">
        <v>22</v>
      </c>
      <c r="I51" s="36">
        <v>4.5999999999999996</v>
      </c>
      <c r="J51" s="37">
        <v>60</v>
      </c>
      <c r="K51" s="41">
        <f>listeVentes[[#This Row],[Prix de vente]]*listeVentes[[#This Row],[Quantité]]</f>
        <v>276</v>
      </c>
      <c r="L51" s="2"/>
    </row>
    <row r="52" spans="1:12" ht="18" customHeight="1">
      <c r="A52" s="6"/>
      <c r="B52" s="2"/>
      <c r="C52" s="14">
        <f t="shared" si="1"/>
        <v>15</v>
      </c>
      <c r="D52" s="15">
        <v>44652</v>
      </c>
      <c r="E52" s="35" t="s">
        <v>56</v>
      </c>
      <c r="F52" s="35" t="s">
        <v>18</v>
      </c>
      <c r="G52" s="35" t="s">
        <v>19</v>
      </c>
      <c r="H52" s="35" t="s">
        <v>22</v>
      </c>
      <c r="I52" s="36">
        <v>5</v>
      </c>
      <c r="J52" s="37">
        <v>60</v>
      </c>
      <c r="K52" s="41">
        <f>listeVentes[[#This Row],[Prix de vente]]*listeVentes[[#This Row],[Quantité]]</f>
        <v>300</v>
      </c>
      <c r="L52" s="2"/>
    </row>
    <row r="53" spans="1:12" ht="18" customHeight="1">
      <c r="A53" s="6"/>
      <c r="B53" s="2"/>
      <c r="C53" s="14">
        <f t="shared" si="1"/>
        <v>14</v>
      </c>
      <c r="D53" s="15">
        <v>44629</v>
      </c>
      <c r="E53" s="35" t="s">
        <v>56</v>
      </c>
      <c r="F53" s="35" t="s">
        <v>18</v>
      </c>
      <c r="G53" s="35" t="s">
        <v>19</v>
      </c>
      <c r="H53" s="35" t="s">
        <v>22</v>
      </c>
      <c r="I53" s="36">
        <v>5</v>
      </c>
      <c r="J53" s="37">
        <v>60</v>
      </c>
      <c r="K53" s="41">
        <f>listeVentes[[#This Row],[Prix de vente]]*listeVentes[[#This Row],[Quantité]]</f>
        <v>300</v>
      </c>
      <c r="L53" s="2"/>
    </row>
    <row r="54" spans="1:12" ht="18" customHeight="1">
      <c r="A54" s="6"/>
      <c r="B54" s="2"/>
      <c r="C54" s="14">
        <f t="shared" si="1"/>
        <v>13</v>
      </c>
      <c r="D54" s="15">
        <v>44598</v>
      </c>
      <c r="E54" s="35" t="s">
        <v>56</v>
      </c>
      <c r="F54" s="35" t="s">
        <v>18</v>
      </c>
      <c r="G54" s="35" t="s">
        <v>19</v>
      </c>
      <c r="H54" s="35" t="s">
        <v>22</v>
      </c>
      <c r="I54" s="36">
        <v>5</v>
      </c>
      <c r="J54" s="37">
        <v>12</v>
      </c>
      <c r="K54" s="41">
        <f>listeVentes[[#This Row],[Prix de vente]]*listeVentes[[#This Row],[Quantité]]</f>
        <v>60</v>
      </c>
      <c r="L54" s="2"/>
    </row>
    <row r="55" spans="1:12" ht="18" customHeight="1">
      <c r="A55" s="6"/>
      <c r="B55" s="2"/>
      <c r="C55" s="14">
        <f t="shared" si="1"/>
        <v>12</v>
      </c>
      <c r="D55" s="15">
        <v>44689</v>
      </c>
      <c r="E55" s="35" t="s">
        <v>55</v>
      </c>
      <c r="F55" s="35" t="s">
        <v>18</v>
      </c>
      <c r="G55" s="35" t="s">
        <v>19</v>
      </c>
      <c r="H55" s="35" t="s">
        <v>21</v>
      </c>
      <c r="I55" s="36">
        <v>3</v>
      </c>
      <c r="J55" s="37">
        <v>10</v>
      </c>
      <c r="K55" s="41">
        <f>listeVentes[[#This Row],[Prix de vente]]*listeVentes[[#This Row],[Quantité]]</f>
        <v>30</v>
      </c>
      <c r="L55" s="2"/>
    </row>
    <row r="56" spans="1:12" ht="18" customHeight="1">
      <c r="A56" s="6"/>
      <c r="B56" s="2"/>
      <c r="C56" s="14">
        <f t="shared" si="1"/>
        <v>11</v>
      </c>
      <c r="D56" s="15">
        <v>44656</v>
      </c>
      <c r="E56" s="35" t="s">
        <v>55</v>
      </c>
      <c r="F56" s="35" t="s">
        <v>18</v>
      </c>
      <c r="G56" s="35" t="s">
        <v>19</v>
      </c>
      <c r="H56" s="35" t="s">
        <v>21</v>
      </c>
      <c r="I56" s="36">
        <v>2.7</v>
      </c>
      <c r="J56" s="37">
        <v>15</v>
      </c>
      <c r="K56" s="41">
        <f>listeVentes[[#This Row],[Prix de vente]]*listeVentes[[#This Row],[Quantité]]</f>
        <v>40.5</v>
      </c>
      <c r="L56" s="2"/>
    </row>
    <row r="57" spans="1:12" ht="18" customHeight="1">
      <c r="A57" s="6"/>
      <c r="B57" s="2"/>
      <c r="C57" s="14">
        <f t="shared" si="1"/>
        <v>10</v>
      </c>
      <c r="D57" s="15">
        <v>44623</v>
      </c>
      <c r="E57" s="35" t="s">
        <v>55</v>
      </c>
      <c r="F57" s="35" t="s">
        <v>18</v>
      </c>
      <c r="G57" s="35" t="s">
        <v>19</v>
      </c>
      <c r="H57" s="35" t="s">
        <v>21</v>
      </c>
      <c r="I57" s="36">
        <v>2.6</v>
      </c>
      <c r="J57" s="37">
        <v>15</v>
      </c>
      <c r="K57" s="41">
        <f>listeVentes[[#This Row],[Prix de vente]]*listeVentes[[#This Row],[Quantité]]</f>
        <v>39</v>
      </c>
      <c r="L57" s="2"/>
    </row>
    <row r="58" spans="1:12" ht="18" customHeight="1">
      <c r="A58" s="6"/>
      <c r="B58" s="2"/>
      <c r="C58" s="14">
        <f t="shared" si="1"/>
        <v>9</v>
      </c>
      <c r="D58" s="15">
        <v>44595</v>
      </c>
      <c r="E58" s="35" t="s">
        <v>55</v>
      </c>
      <c r="F58" s="35" t="s">
        <v>18</v>
      </c>
      <c r="G58" s="35" t="s">
        <v>19</v>
      </c>
      <c r="H58" s="35" t="s">
        <v>21</v>
      </c>
      <c r="I58" s="36">
        <v>2.5</v>
      </c>
      <c r="J58" s="37">
        <v>2</v>
      </c>
      <c r="K58" s="41">
        <f>listeVentes[[#This Row],[Prix de vente]]*listeVentes[[#This Row],[Quantité]]</f>
        <v>5</v>
      </c>
      <c r="L58" s="2"/>
    </row>
    <row r="59" spans="1:12" ht="18" customHeight="1">
      <c r="A59" s="6"/>
      <c r="B59" s="2"/>
      <c r="C59" s="14">
        <f t="shared" si="1"/>
        <v>8</v>
      </c>
      <c r="D59" s="15">
        <v>44703</v>
      </c>
      <c r="E59" s="35" t="s">
        <v>54</v>
      </c>
      <c r="F59" s="35" t="s">
        <v>18</v>
      </c>
      <c r="G59" s="35" t="s">
        <v>19</v>
      </c>
      <c r="H59" s="35" t="s">
        <v>20</v>
      </c>
      <c r="I59" s="36">
        <v>0.3</v>
      </c>
      <c r="J59" s="37">
        <v>4</v>
      </c>
      <c r="K59" s="41">
        <f>listeVentes[[#This Row],[Prix de vente]]*listeVentes[[#This Row],[Quantité]]</f>
        <v>1.2</v>
      </c>
      <c r="L59" s="2"/>
    </row>
    <row r="60" spans="1:12" ht="18" customHeight="1">
      <c r="A60" s="6"/>
      <c r="B60" s="2"/>
      <c r="C60" s="14">
        <f t="shared" si="1"/>
        <v>7</v>
      </c>
      <c r="D60" s="15">
        <v>44655</v>
      </c>
      <c r="E60" s="35" t="s">
        <v>54</v>
      </c>
      <c r="F60" s="35" t="s">
        <v>18</v>
      </c>
      <c r="G60" s="35" t="s">
        <v>19</v>
      </c>
      <c r="H60" s="35" t="s">
        <v>20</v>
      </c>
      <c r="I60" s="36">
        <v>0.3</v>
      </c>
      <c r="J60" s="37">
        <v>15</v>
      </c>
      <c r="K60" s="41">
        <f>listeVentes[[#This Row],[Prix de vente]]*listeVentes[[#This Row],[Quantité]]</f>
        <v>4.5</v>
      </c>
      <c r="L60" s="2"/>
    </row>
    <row r="61" spans="1:12" ht="18" customHeight="1">
      <c r="A61" s="6"/>
      <c r="B61" s="2"/>
      <c r="C61" s="14">
        <f t="shared" si="1"/>
        <v>6</v>
      </c>
      <c r="D61" s="15">
        <v>44626</v>
      </c>
      <c r="E61" s="35" t="s">
        <v>54</v>
      </c>
      <c r="F61" s="35" t="s">
        <v>18</v>
      </c>
      <c r="G61" s="35" t="s">
        <v>19</v>
      </c>
      <c r="H61" s="35" t="s">
        <v>20</v>
      </c>
      <c r="I61" s="36">
        <v>0.3</v>
      </c>
      <c r="J61" s="37">
        <v>20</v>
      </c>
      <c r="K61" s="41">
        <f>listeVentes[[#This Row],[Prix de vente]]*listeVentes[[#This Row],[Quantité]]</f>
        <v>6</v>
      </c>
      <c r="L61" s="2"/>
    </row>
    <row r="62" spans="1:12" ht="18" customHeight="1">
      <c r="A62" s="6"/>
      <c r="B62" s="2"/>
      <c r="C62" s="14">
        <f t="shared" si="1"/>
        <v>5</v>
      </c>
      <c r="D62" s="15">
        <v>44597</v>
      </c>
      <c r="E62" s="35" t="s">
        <v>54</v>
      </c>
      <c r="F62" s="35" t="s">
        <v>18</v>
      </c>
      <c r="G62" s="35" t="s">
        <v>19</v>
      </c>
      <c r="H62" s="35" t="s">
        <v>20</v>
      </c>
      <c r="I62" s="36">
        <v>0.3</v>
      </c>
      <c r="J62" s="37">
        <v>15</v>
      </c>
      <c r="K62" s="41">
        <f>listeVentes[[#This Row],[Prix de vente]]*listeVentes[[#This Row],[Quantité]]</f>
        <v>4.5</v>
      </c>
      <c r="L62" s="2"/>
    </row>
    <row r="63" spans="1:12" ht="18" customHeight="1">
      <c r="A63" s="6"/>
      <c r="B63" s="2"/>
      <c r="C63" s="14">
        <v>4</v>
      </c>
      <c r="D63" s="15">
        <v>44584</v>
      </c>
      <c r="E63" s="35" t="s">
        <v>55</v>
      </c>
      <c r="F63" s="12" t="s">
        <v>18</v>
      </c>
      <c r="G63" s="12" t="s">
        <v>19</v>
      </c>
      <c r="H63" s="12" t="s">
        <v>21</v>
      </c>
      <c r="I63" s="36">
        <v>3</v>
      </c>
      <c r="J63" s="37">
        <v>6</v>
      </c>
      <c r="K63" s="13">
        <f>listeVentes[[#This Row],[Prix de vente]]*listeVentes[[#This Row],[Quantité]]</f>
        <v>18</v>
      </c>
      <c r="L63" s="2"/>
    </row>
    <row r="64" spans="1:12" ht="18" customHeight="1">
      <c r="A64" s="6"/>
      <c r="B64" s="2"/>
      <c r="C64" s="14">
        <v>3</v>
      </c>
      <c r="D64" s="15">
        <v>44582</v>
      </c>
      <c r="E64" s="12" t="s">
        <v>54</v>
      </c>
      <c r="F64" s="12" t="s">
        <v>18</v>
      </c>
      <c r="G64" s="12" t="s">
        <v>19</v>
      </c>
      <c r="H64" s="12" t="s">
        <v>20</v>
      </c>
      <c r="I64" s="13">
        <v>0.3</v>
      </c>
      <c r="J64" s="12">
        <v>5</v>
      </c>
      <c r="K64" s="13">
        <f>listeVentes[[#This Row],[Prix de vente]]*listeVentes[[#This Row],[Quantité]]</f>
        <v>1.5</v>
      </c>
      <c r="L64" s="2"/>
    </row>
    <row r="65" spans="1:12" ht="18" customHeight="1">
      <c r="A65" s="6"/>
      <c r="B65" s="2"/>
      <c r="C65" s="14">
        <v>2</v>
      </c>
      <c r="D65" s="15">
        <v>44578</v>
      </c>
      <c r="E65" s="12" t="s">
        <v>55</v>
      </c>
      <c r="F65" s="12" t="s">
        <v>18</v>
      </c>
      <c r="G65" s="12" t="s">
        <v>19</v>
      </c>
      <c r="H65" s="12" t="s">
        <v>21</v>
      </c>
      <c r="I65" s="13">
        <v>2.2000000000000002</v>
      </c>
      <c r="J65" s="12">
        <v>6</v>
      </c>
      <c r="K65" s="13">
        <f>listeVentes[[#This Row],[Prix de vente]]*listeVentes[[#This Row],[Quantité]]</f>
        <v>13.200000000000001</v>
      </c>
      <c r="L65" s="2"/>
    </row>
    <row r="66" spans="1:12" ht="18" customHeight="1">
      <c r="B66" s="2"/>
      <c r="C66" s="14">
        <v>1</v>
      </c>
      <c r="D66" s="15">
        <v>44571</v>
      </c>
      <c r="E66" s="12" t="s">
        <v>56</v>
      </c>
      <c r="F66" s="12" t="s">
        <v>18</v>
      </c>
      <c r="G66" s="12" t="s">
        <v>19</v>
      </c>
      <c r="H66" s="12" t="s">
        <v>22</v>
      </c>
      <c r="I66" s="13">
        <v>4.2</v>
      </c>
      <c r="J66" s="12">
        <v>3</v>
      </c>
      <c r="K66" s="13">
        <f>listeVentes[[#This Row],[Prix de vente]]*listeVentes[[#This Row],[Quantité]]</f>
        <v>12.600000000000001</v>
      </c>
      <c r="L66" s="2"/>
    </row>
    <row r="67" spans="1:12" ht="18" customHeight="1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ht="18" customHeight="1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ht="18" customHeight="1"/>
    <row r="70" spans="1:12" ht="19.899999999999999" customHeight="1"/>
  </sheetData>
  <mergeCells count="2">
    <mergeCell ref="C3:K3"/>
    <mergeCell ref="C4:J4"/>
  </mergeCells>
  <dataValidations count="1">
    <dataValidation type="date" operator="greaterThan" allowBlank="1" showInputMessage="1" showErrorMessage="1" error="Veuillez saisir une date correcte" sqref="D7:D63" xr:uid="{F2FDCC16-73A3-4195-9F6E-0D4642AA913B}">
      <formula1>44561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A2B48-77C5-4F10-95A2-5FF5376E5E3D}">
  <sheetPr codeName="Feuil11"/>
  <dimension ref="A1:S20"/>
  <sheetViews>
    <sheetView zoomScale="80" zoomScaleNormal="115" workbookViewId="0">
      <selection activeCell="Q1" sqref="Q1"/>
    </sheetView>
  </sheetViews>
  <sheetFormatPr baseColWidth="10" defaultColWidth="8.85546875" defaultRowHeight="15"/>
  <cols>
    <col min="1" max="2" width="3.7109375" style="1" customWidth="1"/>
    <col min="3" max="3" width="11.42578125" style="1" customWidth="1"/>
    <col min="4" max="4" width="25.42578125" style="1" customWidth="1"/>
    <col min="5" max="5" width="14.42578125" style="1" customWidth="1"/>
    <col min="6" max="6" width="16.28515625" style="1" customWidth="1"/>
    <col min="7" max="7" width="13.5703125" style="1" customWidth="1"/>
    <col min="8" max="8" width="12.85546875" style="1" customWidth="1"/>
    <col min="9" max="9" width="9.42578125" style="1" customWidth="1"/>
    <col min="10" max="10" width="8.7109375" style="1" customWidth="1"/>
    <col min="11" max="11" width="12" style="1" customWidth="1"/>
    <col min="12" max="12" width="12.5703125" style="1" customWidth="1"/>
    <col min="13" max="13" width="13.140625" style="1" customWidth="1"/>
    <col min="14" max="14" width="13.28515625" style="1" customWidth="1"/>
    <col min="15" max="15" width="3.7109375" style="1" customWidth="1"/>
    <col min="16" max="27" width="12.7109375" style="1" customWidth="1"/>
    <col min="28" max="16384" width="8.85546875" style="1"/>
  </cols>
  <sheetData>
    <row r="1" spans="1:19" ht="18.600000000000001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19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19" ht="21.6" customHeight="1">
      <c r="A3" s="5"/>
      <c r="B3" s="2"/>
      <c r="C3" s="64" t="s">
        <v>34</v>
      </c>
      <c r="D3" s="64"/>
      <c r="E3" s="22"/>
      <c r="F3" s="22"/>
      <c r="G3" s="22"/>
      <c r="H3" s="62"/>
      <c r="I3" s="62"/>
      <c r="J3" s="22"/>
      <c r="K3" s="22"/>
      <c r="L3" s="22"/>
      <c r="M3" s="22"/>
      <c r="N3" s="22"/>
      <c r="O3" s="3"/>
      <c r="P3" s="5"/>
      <c r="Q3" s="5"/>
      <c r="R3" s="5"/>
      <c r="S3" s="5"/>
    </row>
    <row r="4" spans="1:19" ht="15" customHeight="1">
      <c r="B4" s="2"/>
      <c r="C4" s="64"/>
      <c r="D4" s="64"/>
      <c r="E4" s="23"/>
      <c r="F4" s="23"/>
      <c r="G4" s="23"/>
      <c r="H4" s="63"/>
      <c r="I4" s="63"/>
      <c r="J4" s="63"/>
      <c r="K4" s="22"/>
      <c r="L4" s="22"/>
      <c r="M4" s="22"/>
      <c r="N4" s="22"/>
      <c r="O4" s="3"/>
    </row>
    <row r="5" spans="1:19" ht="18" customHeight="1">
      <c r="A5" s="6"/>
      <c r="B5" s="2"/>
      <c r="C5" s="16" t="s">
        <v>14</v>
      </c>
      <c r="D5" s="17" t="s">
        <v>0</v>
      </c>
      <c r="E5" s="17" t="s">
        <v>15</v>
      </c>
      <c r="F5" s="17" t="s">
        <v>8</v>
      </c>
      <c r="G5" s="17" t="s">
        <v>3</v>
      </c>
      <c r="H5" s="17" t="s">
        <v>10</v>
      </c>
      <c r="I5" s="17" t="s">
        <v>12</v>
      </c>
      <c r="J5" s="17" t="s">
        <v>13</v>
      </c>
      <c r="K5" s="17" t="s">
        <v>11</v>
      </c>
      <c r="L5" s="17" t="s">
        <v>37</v>
      </c>
      <c r="M5" s="17" t="s">
        <v>4</v>
      </c>
      <c r="N5" s="18" t="s">
        <v>16</v>
      </c>
      <c r="O5" s="2"/>
    </row>
    <row r="6" spans="1:19" ht="18" customHeight="1">
      <c r="A6" s="6"/>
      <c r="B6" s="2"/>
      <c r="C6" s="24" t="s">
        <v>52</v>
      </c>
      <c r="D6" s="19" t="str">
        <f>IFERROR(VLOOKUP(listeInventaire[[#This Row],[Référence]],listeProduits[],2,FALSE),"")</f>
        <v>GOOGLE PIXEL 5</v>
      </c>
      <c r="E6" s="19" t="str">
        <f>IFERROR(VLOOKUP(listeInventaire[[#This Row],[Référence]],listeProduits[],3,FALSE),"")</f>
        <v>SmartPhone</v>
      </c>
      <c r="F6" s="19" t="str">
        <f>IFERROR(VLOOKUP(listeInventaire[[#This Row],[Référence]],listeProduits[],4,FALSE),"")</f>
        <v>1 unité</v>
      </c>
      <c r="G6" s="21">
        <f>IFERROR(VLOOKUP(listeInventaire[[#This Row],[Référence]],listeProduits[],5,FALSE),"")</f>
        <v>10</v>
      </c>
      <c r="H6" s="21">
        <f>IFERROR(VLOOKUP(listeInventaire[[#This Row],[Référence]],listeProduits[],6,FALSE),"")</f>
        <v>20</v>
      </c>
      <c r="I6" s="21">
        <f>SUMIF(listeAchats[Référence],listeInventaire[[#This Row],[Référence]],listeAchats[Quantité])</f>
        <v>55</v>
      </c>
      <c r="J6" s="21">
        <f>SUMIF(listeVentes[Référence],listeInventaire[[#This Row],[Référence]],listeVentes[Quantité])</f>
        <v>60</v>
      </c>
      <c r="K6" s="21">
        <f>IFERROR(listeInventaire[[#This Row],[Stock initial]]+listeInventaire[[#This Row],[Entrées]]-listeInventaire[[#This Row],[Sorties]],"")</f>
        <v>15</v>
      </c>
      <c r="L6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599.4666666666667</v>
      </c>
      <c r="M6" s="20">
        <f>IFERROR(listeInventaire[[#This Row],[Stock final]]*listeInventaire[[#This Row],[CUMP]],"")</f>
        <v>8992</v>
      </c>
      <c r="N6" s="19" t="str">
        <f>IF(listeInventaire[[#This Row],[Stock final]]&gt;listeInventaire[[#This Row],[Seuil d''alerte]],"Stock normal",IF(listeInventaire[[#This Row],[Stock final]]=0,"Non disponible","Stock faible"))</f>
        <v>Stock normal</v>
      </c>
      <c r="O6" s="2"/>
    </row>
    <row r="7" spans="1:19" ht="18" customHeight="1">
      <c r="A7" s="6"/>
      <c r="B7" s="2"/>
      <c r="C7" s="24" t="s">
        <v>53</v>
      </c>
      <c r="D7" s="19" t="str">
        <f>IFERROR(VLOOKUP(listeInventaire[[#This Row],[Référence]],listeProduits[],2,FALSE),"")</f>
        <v>IPHONE 13 PRO</v>
      </c>
      <c r="E7" s="19" t="str">
        <f>IFERROR(VLOOKUP(listeInventaire[[#This Row],[Référence]],listeProduits[],3,FALSE),"")</f>
        <v>SmartPhone</v>
      </c>
      <c r="F7" s="19" t="str">
        <f>IFERROR(VLOOKUP(listeInventaire[[#This Row],[Référence]],listeProduits[],4,FALSE),"")</f>
        <v>1 unité</v>
      </c>
      <c r="G7" s="21">
        <f>IFERROR(VLOOKUP(listeInventaire[[#This Row],[Référence]],listeProduits[],5,FALSE),"")</f>
        <v>10</v>
      </c>
      <c r="H7" s="21">
        <f>IFERROR(VLOOKUP(listeInventaire[[#This Row],[Référence]],listeProduits[],6,FALSE),"")</f>
        <v>3</v>
      </c>
      <c r="I7" s="21">
        <f>SUMIF(listeAchats[Référence],listeInventaire[[#This Row],[Référence]],listeAchats[Quantité])</f>
        <v>96</v>
      </c>
      <c r="J7" s="21">
        <f>SUMIF(listeVentes[Référence],listeInventaire[[#This Row],[Référence]],listeVentes[Quantité])</f>
        <v>87</v>
      </c>
      <c r="K7" s="21">
        <f>IFERROR(listeInventaire[[#This Row],[Stock initial]]+listeInventaire[[#This Row],[Entrées]]-listeInventaire[[#This Row],[Sorties]],"")</f>
        <v>12</v>
      </c>
      <c r="L7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1400</v>
      </c>
      <c r="M7" s="20">
        <f>IFERROR(listeInventaire[[#This Row],[Stock final]]*listeInventaire[[#This Row],[CUMP]],"")</f>
        <v>16800</v>
      </c>
      <c r="N7" s="19" t="str">
        <f>IF(listeInventaire[[#This Row],[Stock final]]&gt;listeInventaire[[#This Row],[Seuil d''alerte]],"Stock normal",IF(listeInventaire[[#This Row],[Stock final]]=0,"Non disponible","Stock faible"))</f>
        <v>Stock normal</v>
      </c>
      <c r="O7" s="2"/>
    </row>
    <row r="8" spans="1:19" ht="18" customHeight="1">
      <c r="B8" s="2"/>
      <c r="C8" s="24" t="s">
        <v>54</v>
      </c>
      <c r="D8" s="19" t="str">
        <f>IFERROR(VLOOKUP(listeInventaire[[#This Row],[Référence]],listeProduits[],2,FALSE),"")</f>
        <v>Oreo</v>
      </c>
      <c r="E8" s="19" t="str">
        <f>IFERROR(VLOOKUP(listeInventaire[[#This Row],[Référence]],listeProduits[],3,FALSE),"")</f>
        <v xml:space="preserve">Biscuits </v>
      </c>
      <c r="F8" s="19" t="str">
        <f>IFERROR(VLOOKUP(listeInventaire[[#This Row],[Référence]],listeProduits[],4,FALSE),"")</f>
        <v xml:space="preserve">1 unité </v>
      </c>
      <c r="G8" s="21">
        <f>IFERROR(VLOOKUP(listeInventaire[[#This Row],[Référence]],listeProduits[],5,FALSE),"")</f>
        <v>10</v>
      </c>
      <c r="H8" s="21">
        <f>IFERROR(VLOOKUP(listeInventaire[[#This Row],[Référence]],listeProduits[],6,FALSE),"")</f>
        <v>10</v>
      </c>
      <c r="I8" s="21">
        <f>SUMIF(listeAchats[Référence],listeInventaire[[#This Row],[Référence]],listeAchats[Quantité])</f>
        <v>95</v>
      </c>
      <c r="J8" s="21">
        <f>SUMIF(listeVentes[Référence],listeInventaire[[#This Row],[Référence]],listeVentes[Quantité])</f>
        <v>79</v>
      </c>
      <c r="K8" s="21">
        <f>IFERROR(listeInventaire[[#This Row],[Stock initial]]+listeInventaire[[#This Row],[Entrées]]-listeInventaire[[#This Row],[Sorties]],"")</f>
        <v>26</v>
      </c>
      <c r="L8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0.20904761904761907</v>
      </c>
      <c r="M8" s="20">
        <f>IFERROR(listeInventaire[[#This Row],[Stock final]]*listeInventaire[[#This Row],[CUMP]],"")</f>
        <v>5.4352380952380956</v>
      </c>
      <c r="N8" s="19" t="str">
        <f>IF(listeInventaire[[#This Row],[Stock final]]&gt;listeInventaire[[#This Row],[Seuil d''alerte]],"Stock normal",IF(listeInventaire[[#This Row],[Stock final]]=0,"Non disponible","Stock faible"))</f>
        <v>Stock normal</v>
      </c>
      <c r="O8" s="2"/>
    </row>
    <row r="9" spans="1:19" ht="18" customHeight="1">
      <c r="B9" s="2"/>
      <c r="C9" s="24" t="s">
        <v>55</v>
      </c>
      <c r="D9" s="19" t="str">
        <f>IFERROR(VLOOKUP(listeInventaire[[#This Row],[Référence]],listeProduits[],2,FALSE),"")</f>
        <v>Oreo</v>
      </c>
      <c r="E9" s="19" t="str">
        <f>IFERROR(VLOOKUP(listeInventaire[[#This Row],[Référence]],listeProduits[],3,FALSE),"")</f>
        <v xml:space="preserve">Biscuits </v>
      </c>
      <c r="F9" s="19" t="str">
        <f>IFERROR(VLOOKUP(listeInventaire[[#This Row],[Référence]],listeProduits[],4,FALSE),"")</f>
        <v>Pack de 10 unités</v>
      </c>
      <c r="G9" s="21">
        <f>IFERROR(VLOOKUP(listeInventaire[[#This Row],[Référence]],listeProduits[],5,FALSE),"")</f>
        <v>50</v>
      </c>
      <c r="H9" s="21">
        <f>IFERROR(VLOOKUP(listeInventaire[[#This Row],[Référence]],listeProduits[],6,FALSE),"")</f>
        <v>15</v>
      </c>
      <c r="I9" s="21">
        <f>SUMIF(listeAchats[Référence],listeInventaire[[#This Row],[Référence]],listeAchats[Quantité])</f>
        <v>147</v>
      </c>
      <c r="J9" s="21">
        <f>SUMIF(listeVentes[Référence],listeInventaire[[#This Row],[Référence]],listeVentes[Quantité])</f>
        <v>64</v>
      </c>
      <c r="K9" s="21">
        <f>IFERROR(listeInventaire[[#This Row],[Stock initial]]+listeInventaire[[#This Row],[Entrées]]-listeInventaire[[#This Row],[Sorties]],"")</f>
        <v>98</v>
      </c>
      <c r="L9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2</v>
      </c>
      <c r="M9" s="20">
        <f>IFERROR(listeInventaire[[#This Row],[Stock final]]*listeInventaire[[#This Row],[CUMP]],"")</f>
        <v>196</v>
      </c>
      <c r="N9" s="19" t="str">
        <f>IF(listeInventaire[[#This Row],[Stock final]]&gt;listeInventaire[[#This Row],[Seuil d''alerte]],"Stock normal",IF(listeInventaire[[#This Row],[Stock final]]=0,"Non disponible","Stock faible"))</f>
        <v>Stock normal</v>
      </c>
      <c r="O9" s="2"/>
    </row>
    <row r="10" spans="1:19" ht="18" customHeight="1">
      <c r="B10" s="2"/>
      <c r="C10" s="24" t="s">
        <v>56</v>
      </c>
      <c r="D10" s="19" t="str">
        <f>IFERROR(VLOOKUP(listeInventaire[[#This Row],[Référence]],listeProduits[],2,FALSE),"")</f>
        <v>Oreo</v>
      </c>
      <c r="E10" s="19" t="str">
        <f>IFERROR(VLOOKUP(listeInventaire[[#This Row],[Référence]],listeProduits[],3,FALSE),"")</f>
        <v xml:space="preserve">Biscuits </v>
      </c>
      <c r="F10" s="19" t="str">
        <f>IFERROR(VLOOKUP(listeInventaire[[#This Row],[Référence]],listeProduits[],4,FALSE),"")</f>
        <v>Pack de 20 unités</v>
      </c>
      <c r="G10" s="21">
        <f>IFERROR(VLOOKUP(listeInventaire[[#This Row],[Référence]],listeProduits[],5,FALSE),"")</f>
        <v>20</v>
      </c>
      <c r="H10" s="21">
        <f>IFERROR(VLOOKUP(listeInventaire[[#This Row],[Référence]],listeProduits[],6,FALSE),"")</f>
        <v>5</v>
      </c>
      <c r="I10" s="21">
        <f>SUMIF(listeAchats[Référence],listeInventaire[[#This Row],[Référence]],listeAchats[Quantité])</f>
        <v>320</v>
      </c>
      <c r="J10" s="21">
        <f>SUMIF(listeVentes[Référence],listeInventaire[[#This Row],[Référence]],listeVentes[Quantité])</f>
        <v>195</v>
      </c>
      <c r="K10" s="21">
        <f>IFERROR(listeInventaire[[#This Row],[Stock initial]]+listeInventaire[[#This Row],[Entrées]]-listeInventaire[[#This Row],[Sorties]],"")</f>
        <v>130</v>
      </c>
      <c r="L10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4</v>
      </c>
      <c r="M10" s="20">
        <f>IFERROR(listeInventaire[[#This Row],[Stock final]]*listeInventaire[[#This Row],[CUMP]],"")</f>
        <v>520</v>
      </c>
      <c r="N10" s="19" t="str">
        <f>IF(listeInventaire[[#This Row],[Stock final]]&gt;listeInventaire[[#This Row],[Seuil d''alerte]],"Stock normal",IF(listeInventaire[[#This Row],[Stock final]]=0,"Non disponible","Stock faible"))</f>
        <v>Stock normal</v>
      </c>
      <c r="O10" s="2"/>
    </row>
    <row r="11" spans="1:19" ht="18" customHeight="1">
      <c r="B11" s="2"/>
      <c r="C11" s="24" t="s">
        <v>38</v>
      </c>
      <c r="D11" s="19" t="str">
        <f>IFERROR(VLOOKUP(listeInventaire[[#This Row],[Référence]],listeProduits[],2,FALSE),"")</f>
        <v>Réfrigérateur WHIRLPOOL</v>
      </c>
      <c r="E11" s="19" t="str">
        <f>IFERROR(VLOOKUP(listeInventaire[[#This Row],[Référence]],listeProduits[],3,FALSE),"")</f>
        <v>Electro</v>
      </c>
      <c r="F11" s="19" t="str">
        <f>IFERROR(VLOOKUP(listeInventaire[[#This Row],[Référence]],listeProduits[],4,FALSE),"")</f>
        <v>1 unité</v>
      </c>
      <c r="G11" s="21">
        <f>IFERROR(VLOOKUP(listeInventaire[[#This Row],[Référence]],listeProduits[],5,FALSE),"")</f>
        <v>10</v>
      </c>
      <c r="H11" s="21">
        <f>IFERROR(VLOOKUP(listeInventaire[[#This Row],[Référence]],listeProduits[],6,FALSE),"")</f>
        <v>5</v>
      </c>
      <c r="I11" s="21">
        <f>SUMIF(listeAchats[Référence],listeInventaire[[#This Row],[Référence]],listeAchats[Quantité])</f>
        <v>24</v>
      </c>
      <c r="J11" s="21">
        <f>SUMIF(listeVentes[Référence],listeInventaire[[#This Row],[Référence]],listeVentes[Quantité])</f>
        <v>21</v>
      </c>
      <c r="K11" s="21">
        <f>IFERROR(listeInventaire[[#This Row],[Stock initial]]+listeInventaire[[#This Row],[Entrées]]-listeInventaire[[#This Row],[Sorties]],"")</f>
        <v>8</v>
      </c>
      <c r="L11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700</v>
      </c>
      <c r="M11" s="20">
        <f>IFERROR(listeInventaire[[#This Row],[Stock final]]*listeInventaire[[#This Row],[CUMP]],"")</f>
        <v>5600</v>
      </c>
      <c r="N11" s="19" t="str">
        <f>IF(listeInventaire[[#This Row],[Stock final]]&gt;listeInventaire[[#This Row],[Seuil d''alerte]],"Stock normal",IF(listeInventaire[[#This Row],[Stock final]]=0,"Non disponible","Stock faible"))</f>
        <v>Stock faible</v>
      </c>
      <c r="O11" s="2"/>
    </row>
    <row r="12" spans="1:19" ht="18" customHeight="1">
      <c r="B12" s="2"/>
      <c r="C12" s="24" t="s">
        <v>39</v>
      </c>
      <c r="D12" s="19" t="str">
        <f>IFERROR(VLOOKUP(listeInventaire[[#This Row],[Référence]],listeProduits[],2,FALSE),"")</f>
        <v>Réfrigérateur SIERA</v>
      </c>
      <c r="E12" s="19" t="str">
        <f>IFERROR(VLOOKUP(listeInventaire[[#This Row],[Référence]],listeProduits[],3,FALSE),"")</f>
        <v>Electro</v>
      </c>
      <c r="F12" s="19" t="str">
        <f>IFERROR(VLOOKUP(listeInventaire[[#This Row],[Référence]],listeProduits[],4,FALSE),"")</f>
        <v>1 unité</v>
      </c>
      <c r="G12" s="21">
        <f>IFERROR(VLOOKUP(listeInventaire[[#This Row],[Référence]],listeProduits[],5,FALSE),"")</f>
        <v>10</v>
      </c>
      <c r="H12" s="21">
        <f>IFERROR(VLOOKUP(listeInventaire[[#This Row],[Référence]],listeProduits[],6,FALSE),"")</f>
        <v>3</v>
      </c>
      <c r="I12" s="21">
        <f>SUMIF(listeAchats[Référence],listeInventaire[[#This Row],[Référence]],listeAchats[Quantité])</f>
        <v>40</v>
      </c>
      <c r="J12" s="21">
        <f>SUMIF(listeVentes[Référence],listeInventaire[[#This Row],[Référence]],listeVentes[Quantité])</f>
        <v>24</v>
      </c>
      <c r="K12" s="21">
        <f>IFERROR(listeInventaire[[#This Row],[Stock initial]]+listeInventaire[[#This Row],[Entrées]]-listeInventaire[[#This Row],[Sorties]],"")</f>
        <v>19</v>
      </c>
      <c r="L12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300</v>
      </c>
      <c r="M12" s="20">
        <f>IFERROR(listeInventaire[[#This Row],[Stock final]]*listeInventaire[[#This Row],[CUMP]],"")</f>
        <v>5700</v>
      </c>
      <c r="N12" s="19" t="str">
        <f>IF(listeInventaire[[#This Row],[Stock final]]&gt;listeInventaire[[#This Row],[Seuil d''alerte]],"Stock normal",IF(listeInventaire[[#This Row],[Stock final]]=0,"Non disponible","Stock faible"))</f>
        <v>Stock normal</v>
      </c>
      <c r="O12" s="2"/>
    </row>
    <row r="13" spans="1:19" ht="19.899999999999999" customHeight="1">
      <c r="B13" s="2"/>
      <c r="C13" s="24" t="s">
        <v>40</v>
      </c>
      <c r="D13" s="19" t="str">
        <f>IFERROR(VLOOKUP(listeInventaire[[#This Row],[Référence]],listeProduits[],2,FALSE),"")</f>
        <v>Cuisinière SIERA</v>
      </c>
      <c r="E13" s="19" t="str">
        <f>IFERROR(VLOOKUP(listeInventaire[[#This Row],[Référence]],listeProduits[],3,FALSE),"")</f>
        <v>Electro</v>
      </c>
      <c r="F13" s="19" t="str">
        <f>IFERROR(VLOOKUP(listeInventaire[[#This Row],[Référence]],listeProduits[],4,FALSE),"")</f>
        <v>1 unité</v>
      </c>
      <c r="G13" s="21">
        <f>IFERROR(VLOOKUP(listeInventaire[[#This Row],[Référence]],listeProduits[],5,FALSE),"")</f>
        <v>10</v>
      </c>
      <c r="H13" s="21">
        <f>IFERROR(VLOOKUP(listeInventaire[[#This Row],[Référence]],listeProduits[],6,FALSE),"")</f>
        <v>6</v>
      </c>
      <c r="I13" s="21">
        <f>SUMIF(listeAchats[Référence],listeInventaire[[#This Row],[Référence]],listeAchats[Quantité])</f>
        <v>65</v>
      </c>
      <c r="J13" s="21">
        <f>SUMIF(listeVentes[Référence],listeInventaire[[#This Row],[Référence]],listeVentes[Quantité])</f>
        <v>28</v>
      </c>
      <c r="K13" s="21">
        <f>IFERROR(listeInventaire[[#This Row],[Stock initial]]+listeInventaire[[#This Row],[Entrées]]-listeInventaire[[#This Row],[Sorties]],"")</f>
        <v>43</v>
      </c>
      <c r="L13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150</v>
      </c>
      <c r="M13" s="20">
        <f>IFERROR(listeInventaire[[#This Row],[Stock final]]*listeInventaire[[#This Row],[CUMP]],"")</f>
        <v>6450</v>
      </c>
      <c r="N13" s="19" t="str">
        <f>IF(listeInventaire[[#This Row],[Stock final]]&gt;listeInventaire[[#This Row],[Seuil d''alerte]],"Stock normal",IF(listeInventaire[[#This Row],[Stock final]]=0,"Non disponible","Stock faible"))</f>
        <v>Stock normal</v>
      </c>
      <c r="O13" s="2"/>
    </row>
    <row r="14" spans="1:19" ht="19.899999999999999" customHeight="1">
      <c r="B14" s="2"/>
      <c r="C14" s="24" t="s">
        <v>41</v>
      </c>
      <c r="D14" s="19" t="str">
        <f>IFERROR(VLOOKUP(listeInventaire[[#This Row],[Référence]],listeProduits[],2,FALSE),"")</f>
        <v>Cuisinière CANDY</v>
      </c>
      <c r="E14" s="19" t="str">
        <f>IFERROR(VLOOKUP(listeInventaire[[#This Row],[Référence]],listeProduits[],3,FALSE),"")</f>
        <v>Electro</v>
      </c>
      <c r="F14" s="19" t="str">
        <f>IFERROR(VLOOKUP(listeInventaire[[#This Row],[Référence]],listeProduits[],4,FALSE),"")</f>
        <v>1 unité</v>
      </c>
      <c r="G14" s="21">
        <f>IFERROR(VLOOKUP(listeInventaire[[#This Row],[Référence]],listeProduits[],5,FALSE),"")</f>
        <v>10</v>
      </c>
      <c r="H14" s="21">
        <f>IFERROR(VLOOKUP(listeInventaire[[#This Row],[Référence]],listeProduits[],6,FALSE),"")</f>
        <v>0</v>
      </c>
      <c r="I14" s="21">
        <f>SUMIF(listeAchats[Référence],listeInventaire[[#This Row],[Référence]],listeAchats[Quantité])</f>
        <v>60</v>
      </c>
      <c r="J14" s="21">
        <f>SUMIF(listeVentes[Référence],listeInventaire[[#This Row],[Référence]],listeVentes[Quantité])</f>
        <v>60</v>
      </c>
      <c r="K14" s="21">
        <f>IFERROR(listeInventaire[[#This Row],[Stock initial]]+listeInventaire[[#This Row],[Entrées]]-listeInventaire[[#This Row],[Sorties]],"")</f>
        <v>0</v>
      </c>
      <c r="L14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500</v>
      </c>
      <c r="M14" s="20">
        <f>IFERROR(listeInventaire[[#This Row],[Stock final]]*listeInventaire[[#This Row],[CUMP]],"")</f>
        <v>0</v>
      </c>
      <c r="N14" s="19" t="str">
        <f>IF(listeInventaire[[#This Row],[Stock final]]&gt;listeInventaire[[#This Row],[Seuil d''alerte]],"Stock normal",IF(listeInventaire[[#This Row],[Stock final]]=0,"Non disponible","Stock faible"))</f>
        <v>Non disponible</v>
      </c>
      <c r="O14" s="2"/>
    </row>
    <row r="15" spans="1:19" ht="19.899999999999999" customHeight="1">
      <c r="B15" s="2"/>
      <c r="C15" s="46" t="s">
        <v>35</v>
      </c>
      <c r="D15" s="19" t="str">
        <f>IFERROR(VLOOKUP(listeInventaire[[#This Row],[Référence]],listeProduits[],2,FALSE),"")</f>
        <v xml:space="preserve">PLAYSTATION PS5 </v>
      </c>
      <c r="E15" s="19" t="str">
        <f>IFERROR(VLOOKUP(listeInventaire[[#This Row],[Référence]],listeProduits[],3,FALSE),"")</f>
        <v>Consoles</v>
      </c>
      <c r="F15" s="19" t="str">
        <f>IFERROR(VLOOKUP(listeInventaire[[#This Row],[Référence]],listeProduits[],4,FALSE),"")</f>
        <v>1 unité</v>
      </c>
      <c r="G15" s="21">
        <f>IFERROR(VLOOKUP(listeInventaire[[#This Row],[Référence]],listeProduits[],5,FALSE),"")</f>
        <v>10</v>
      </c>
      <c r="H15" s="21">
        <f>IFERROR(VLOOKUP(listeInventaire[[#This Row],[Référence]],listeProduits[],6,FALSE),"")</f>
        <v>3</v>
      </c>
      <c r="I15" s="21">
        <f>SUMIF(listeAchats[Référence],listeInventaire[[#This Row],[Référence]],listeAchats[Quantité])</f>
        <v>50</v>
      </c>
      <c r="J15" s="21">
        <f>SUMIF(listeVentes[Référence],listeInventaire[[#This Row],[Référence]],listeVentes[Quantité])</f>
        <v>40</v>
      </c>
      <c r="K15" s="21">
        <f>IFERROR(listeInventaire[[#This Row],[Stock initial]]+listeInventaire[[#This Row],[Entrées]]-listeInventaire[[#This Row],[Sorties]],"")</f>
        <v>13</v>
      </c>
      <c r="L15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751.88679245283015</v>
      </c>
      <c r="M15" s="20">
        <f>IFERROR(listeInventaire[[#This Row],[Stock final]]*listeInventaire[[#This Row],[CUMP]],"")</f>
        <v>9774.5283018867922</v>
      </c>
      <c r="N15" s="19" t="str">
        <f>IF(listeInventaire[[#This Row],[Stock final]]&gt;listeInventaire[[#This Row],[Seuil d''alerte]],"Stock normal",IF(listeInventaire[[#This Row],[Stock final]]=0,"Non disponible","Stock faible"))</f>
        <v>Stock normal</v>
      </c>
      <c r="O15" s="2"/>
    </row>
    <row r="16" spans="1:19" ht="19.899999999999999" customHeight="1">
      <c r="B16" s="2"/>
      <c r="C16" s="24" t="s">
        <v>36</v>
      </c>
      <c r="D16" s="19" t="str">
        <f>IFERROR(VLOOKUP(listeInventaire[[#This Row],[Référence]],listeProduits[],2,FALSE),"")</f>
        <v>NINTENDO SWITCH</v>
      </c>
      <c r="E16" s="19" t="str">
        <f>IFERROR(VLOOKUP(listeInventaire[[#This Row],[Référence]],listeProduits[],3,FALSE),"")</f>
        <v>Consoles</v>
      </c>
      <c r="F16" s="19" t="str">
        <f>IFERROR(VLOOKUP(listeInventaire[[#This Row],[Référence]],listeProduits[],4,FALSE),"")</f>
        <v>1 unité</v>
      </c>
      <c r="G16" s="21">
        <f>IFERROR(VLOOKUP(listeInventaire[[#This Row],[Référence]],listeProduits[],5,FALSE),"")</f>
        <v>10</v>
      </c>
      <c r="H16" s="21">
        <f>IFERROR(VLOOKUP(listeInventaire[[#This Row],[Référence]],listeProduits[],6,FALSE),"")</f>
        <v>6</v>
      </c>
      <c r="I16" s="21">
        <f>SUMIF(listeAchats[Référence],listeInventaire[[#This Row],[Référence]],listeAchats[Quantité])</f>
        <v>40</v>
      </c>
      <c r="J16" s="21">
        <f>SUMIF(listeVentes[Référence],listeInventaire[[#This Row],[Référence]],listeVentes[Quantité])</f>
        <v>44</v>
      </c>
      <c r="K16" s="21">
        <f>IFERROR(listeInventaire[[#This Row],[Stock initial]]+listeInventaire[[#This Row],[Entrées]]-listeInventaire[[#This Row],[Sorties]],"")</f>
        <v>2</v>
      </c>
      <c r="L16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407.06521739130437</v>
      </c>
      <c r="M16" s="20">
        <f>IFERROR(listeInventaire[[#This Row],[Stock final]]*listeInventaire[[#This Row],[CUMP]],"")</f>
        <v>814.13043478260875</v>
      </c>
      <c r="N16" s="19" t="str">
        <f>IF(listeInventaire[[#This Row],[Stock final]]&gt;listeInventaire[[#This Row],[Seuil d''alerte]],"Stock normal",IF(listeInventaire[[#This Row],[Stock final]]=0,"Non disponible","Stock faible"))</f>
        <v>Stock faible</v>
      </c>
      <c r="O16" s="2"/>
    </row>
    <row r="17" spans="2:1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2:1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2:1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2:1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</sheetData>
  <mergeCells count="3">
    <mergeCell ref="H3:I3"/>
    <mergeCell ref="H4:J4"/>
    <mergeCell ref="C3:D4"/>
  </mergeCells>
  <phoneticPr fontId="14" type="noConversion"/>
  <conditionalFormatting sqref="N6:N16">
    <cfRule type="containsText" dxfId="38" priority="1" operator="containsText" text="Stock faible">
      <formula>NOT(ISERROR(SEARCH("Stock faible",N6)))</formula>
    </cfRule>
    <cfRule type="containsText" dxfId="37" priority="2" operator="containsText" text="Stock normal">
      <formula>NOT(ISERROR(SEARCH("Stock normal",N6)))</formula>
    </cfRule>
    <cfRule type="containsText" dxfId="36" priority="3" operator="containsText" text="Non disponible">
      <formula>NOT(ISERROR(SEARCH("Non disponible",N6)))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32D8-0884-418C-BE57-5444BF30BF29}">
  <sheetPr codeName="Feuil2"/>
  <dimension ref="A1:I132"/>
  <sheetViews>
    <sheetView topLeftCell="C1" zoomScale="85" workbookViewId="0">
      <selection activeCell="Q1" sqref="Q1"/>
    </sheetView>
  </sheetViews>
  <sheetFormatPr baseColWidth="10" defaultRowHeight="15"/>
  <cols>
    <col min="1" max="1" width="21" bestFit="1" customWidth="1"/>
    <col min="2" max="2" width="16.42578125" bestFit="1" customWidth="1"/>
    <col min="3" max="3" width="15.28515625" bestFit="1" customWidth="1"/>
    <col min="4" max="4" width="24.5703125" bestFit="1" customWidth="1"/>
    <col min="6" max="6" width="19.85546875" style="1" customWidth="1"/>
    <col min="7" max="7" width="11.7109375" customWidth="1"/>
  </cols>
  <sheetData>
    <row r="1" spans="1:9">
      <c r="A1" t="s">
        <v>67</v>
      </c>
      <c r="B1" t="s">
        <v>69</v>
      </c>
      <c r="F1" s="10" t="s">
        <v>72</v>
      </c>
      <c r="G1" s="35" t="s">
        <v>73</v>
      </c>
      <c r="I1" t="s">
        <v>79</v>
      </c>
    </row>
    <row r="2" spans="1:9">
      <c r="A2">
        <v>366</v>
      </c>
      <c r="B2" s="52">
        <v>54852.093974764633</v>
      </c>
      <c r="F2" s="35" t="s">
        <v>19</v>
      </c>
      <c r="G2" s="51" t="s">
        <v>55</v>
      </c>
      <c r="I2" t="s">
        <v>74</v>
      </c>
    </row>
    <row r="3" spans="1:9">
      <c r="F3" s="35" t="s">
        <v>60</v>
      </c>
      <c r="G3" s="51" t="s">
        <v>38</v>
      </c>
      <c r="I3" t="s">
        <v>75</v>
      </c>
    </row>
    <row r="4" spans="1:9">
      <c r="A4" t="s">
        <v>70</v>
      </c>
      <c r="B4" t="s">
        <v>71</v>
      </c>
      <c r="F4" s="35" t="s">
        <v>59</v>
      </c>
      <c r="G4" s="51" t="s">
        <v>41</v>
      </c>
      <c r="I4" t="s">
        <v>76</v>
      </c>
    </row>
    <row r="5" spans="1:9">
      <c r="A5">
        <v>992</v>
      </c>
      <c r="B5" s="52">
        <v>291428.95000000007</v>
      </c>
      <c r="F5" s="35" t="s">
        <v>58</v>
      </c>
      <c r="G5" s="51" t="s">
        <v>40</v>
      </c>
      <c r="I5" t="s">
        <v>77</v>
      </c>
    </row>
    <row r="6" spans="1:9">
      <c r="F6"/>
      <c r="G6" s="51" t="s">
        <v>39</v>
      </c>
      <c r="I6" t="s">
        <v>78</v>
      </c>
    </row>
    <row r="7" spans="1:9">
      <c r="A7" t="s">
        <v>70</v>
      </c>
      <c r="B7" t="s">
        <v>71</v>
      </c>
      <c r="F7"/>
      <c r="G7" s="51" t="s">
        <v>36</v>
      </c>
    </row>
    <row r="8" spans="1:9">
      <c r="A8">
        <v>702</v>
      </c>
      <c r="B8" s="52">
        <v>297931</v>
      </c>
      <c r="F8"/>
      <c r="G8" s="51" t="s">
        <v>35</v>
      </c>
    </row>
    <row r="9" spans="1:9">
      <c r="F9"/>
      <c r="G9" s="51" t="s">
        <v>53</v>
      </c>
    </row>
    <row r="10" spans="1:9">
      <c r="F10"/>
      <c r="G10" s="51" t="s">
        <v>52</v>
      </c>
    </row>
    <row r="11" spans="1:9">
      <c r="A11" s="49" t="s">
        <v>80</v>
      </c>
      <c r="B11" t="s">
        <v>67</v>
      </c>
      <c r="F11"/>
      <c r="G11" s="51" t="s">
        <v>56</v>
      </c>
    </row>
    <row r="12" spans="1:9">
      <c r="A12" s="53" t="s">
        <v>19</v>
      </c>
      <c r="B12">
        <v>254</v>
      </c>
      <c r="F12"/>
      <c r="G12" s="51" t="s">
        <v>54</v>
      </c>
    </row>
    <row r="13" spans="1:9">
      <c r="A13" s="53" t="s">
        <v>59</v>
      </c>
      <c r="B13">
        <v>15</v>
      </c>
      <c r="F13"/>
      <c r="G13" s="47"/>
    </row>
    <row r="14" spans="1:9">
      <c r="A14" s="53" t="s">
        <v>60</v>
      </c>
      <c r="B14">
        <v>70</v>
      </c>
      <c r="F14"/>
    </row>
    <row r="15" spans="1:9">
      <c r="A15" s="53" t="s">
        <v>58</v>
      </c>
      <c r="B15">
        <v>27</v>
      </c>
      <c r="F15"/>
    </row>
    <row r="16" spans="1:9">
      <c r="A16" s="53" t="s">
        <v>68</v>
      </c>
      <c r="B16">
        <v>366</v>
      </c>
      <c r="F16"/>
    </row>
    <row r="17" spans="1:6">
      <c r="F17"/>
    </row>
    <row r="18" spans="1:6">
      <c r="A18" s="49" t="s">
        <v>80</v>
      </c>
      <c r="B18" t="s">
        <v>69</v>
      </c>
      <c r="F18"/>
    </row>
    <row r="19" spans="1:6">
      <c r="A19" s="53" t="s">
        <v>19</v>
      </c>
      <c r="B19" s="50">
        <v>721.43523809523811</v>
      </c>
      <c r="F19"/>
    </row>
    <row r="20" spans="1:6">
      <c r="A20" s="53" t="s">
        <v>59</v>
      </c>
      <c r="B20" s="50">
        <v>10588.6587366694</v>
      </c>
      <c r="F20"/>
    </row>
    <row r="21" spans="1:6">
      <c r="A21" s="53" t="s">
        <v>60</v>
      </c>
      <c r="B21" s="50">
        <v>17750</v>
      </c>
      <c r="F21"/>
    </row>
    <row r="22" spans="1:6">
      <c r="A22" s="53" t="s">
        <v>58</v>
      </c>
      <c r="B22" s="50">
        <v>25792</v>
      </c>
      <c r="F22"/>
    </row>
    <row r="23" spans="1:6">
      <c r="A23" s="53" t="s">
        <v>68</v>
      </c>
      <c r="B23" s="54">
        <v>54852.093974764641</v>
      </c>
      <c r="F23"/>
    </row>
    <row r="24" spans="1:6">
      <c r="F24"/>
    </row>
    <row r="25" spans="1:6">
      <c r="A25" s="49" t="s">
        <v>80</v>
      </c>
      <c r="B25" t="s">
        <v>70</v>
      </c>
      <c r="F25"/>
    </row>
    <row r="26" spans="1:6">
      <c r="A26" s="53" t="s">
        <v>81</v>
      </c>
      <c r="B26">
        <v>562</v>
      </c>
      <c r="F26"/>
    </row>
    <row r="27" spans="1:6">
      <c r="A27" s="53" t="s">
        <v>59</v>
      </c>
      <c r="B27">
        <v>90</v>
      </c>
      <c r="F27"/>
    </row>
    <row r="28" spans="1:6">
      <c r="A28" s="53" t="s">
        <v>60</v>
      </c>
      <c r="B28">
        <v>189</v>
      </c>
      <c r="F28"/>
    </row>
    <row r="29" spans="1:6">
      <c r="A29" s="53" t="s">
        <v>58</v>
      </c>
      <c r="B29">
        <v>151</v>
      </c>
      <c r="F29"/>
    </row>
    <row r="30" spans="1:6">
      <c r="A30" s="53" t="s">
        <v>68</v>
      </c>
      <c r="B30">
        <v>992</v>
      </c>
      <c r="F30"/>
    </row>
    <row r="31" spans="1:6">
      <c r="F31"/>
    </row>
    <row r="32" spans="1:6">
      <c r="A32" s="49" t="s">
        <v>80</v>
      </c>
      <c r="B32" t="s">
        <v>71</v>
      </c>
      <c r="F32"/>
    </row>
    <row r="33" spans="1:6">
      <c r="A33" s="53" t="s">
        <v>81</v>
      </c>
      <c r="B33" s="54">
        <v>1593.9500000000003</v>
      </c>
      <c r="F33"/>
    </row>
    <row r="34" spans="1:6">
      <c r="A34" s="53" t="s">
        <v>59</v>
      </c>
      <c r="B34" s="54">
        <v>53925</v>
      </c>
      <c r="F34"/>
    </row>
    <row r="35" spans="1:6">
      <c r="A35" s="53" t="s">
        <v>60</v>
      </c>
      <c r="B35" s="54">
        <v>68550</v>
      </c>
      <c r="F35"/>
    </row>
    <row r="36" spans="1:6">
      <c r="A36" s="53" t="s">
        <v>58</v>
      </c>
      <c r="B36" s="54">
        <v>167360</v>
      </c>
      <c r="F36"/>
    </row>
    <row r="37" spans="1:6">
      <c r="A37" s="53" t="s">
        <v>68</v>
      </c>
      <c r="B37" s="54">
        <v>291428.95000000007</v>
      </c>
      <c r="F37"/>
    </row>
    <row r="38" spans="1:6">
      <c r="F38"/>
    </row>
    <row r="39" spans="1:6">
      <c r="A39" s="49" t="s">
        <v>80</v>
      </c>
      <c r="B39" t="s">
        <v>70</v>
      </c>
      <c r="F39"/>
    </row>
    <row r="40" spans="1:6">
      <c r="A40" s="53" t="s">
        <v>81</v>
      </c>
      <c r="B40">
        <v>338</v>
      </c>
      <c r="F40"/>
    </row>
    <row r="41" spans="1:6">
      <c r="A41" s="53" t="s">
        <v>59</v>
      </c>
      <c r="B41">
        <v>84</v>
      </c>
      <c r="F41"/>
    </row>
    <row r="42" spans="1:6">
      <c r="A42" s="53" t="s">
        <v>60</v>
      </c>
      <c r="B42">
        <v>133</v>
      </c>
      <c r="F42"/>
    </row>
    <row r="43" spans="1:6">
      <c r="A43" s="53" t="s">
        <v>58</v>
      </c>
      <c r="B43">
        <v>147</v>
      </c>
      <c r="F43"/>
    </row>
    <row r="44" spans="1:6">
      <c r="A44" s="53" t="s">
        <v>68</v>
      </c>
      <c r="B44">
        <v>702</v>
      </c>
      <c r="F44"/>
    </row>
    <row r="45" spans="1:6">
      <c r="F45"/>
    </row>
    <row r="46" spans="1:6">
      <c r="A46" s="49" t="s">
        <v>80</v>
      </c>
      <c r="B46" t="s">
        <v>71</v>
      </c>
      <c r="F46"/>
    </row>
    <row r="47" spans="1:6">
      <c r="A47" s="53" t="s">
        <v>81</v>
      </c>
      <c r="B47" s="54">
        <v>1141</v>
      </c>
      <c r="F47"/>
    </row>
    <row r="48" spans="1:6">
      <c r="A48" s="53" t="s">
        <v>59</v>
      </c>
      <c r="B48" s="54">
        <v>57320</v>
      </c>
      <c r="F48"/>
    </row>
    <row r="49" spans="1:7">
      <c r="A49" s="53" t="s">
        <v>60</v>
      </c>
      <c r="B49" s="54">
        <v>67960</v>
      </c>
      <c r="F49"/>
    </row>
    <row r="50" spans="1:7">
      <c r="A50" s="53" t="s">
        <v>58</v>
      </c>
      <c r="B50" s="54">
        <v>171510</v>
      </c>
      <c r="F50"/>
    </row>
    <row r="51" spans="1:7">
      <c r="A51" s="53" t="s">
        <v>68</v>
      </c>
      <c r="B51" s="54">
        <v>297931</v>
      </c>
      <c r="F51"/>
    </row>
    <row r="52" spans="1:7">
      <c r="F52"/>
    </row>
    <row r="53" spans="1:7">
      <c r="F53"/>
    </row>
    <row r="54" spans="1:7">
      <c r="A54" s="49" t="s">
        <v>80</v>
      </c>
      <c r="B54" t="s">
        <v>70</v>
      </c>
      <c r="C54" t="s">
        <v>82</v>
      </c>
      <c r="F54"/>
    </row>
    <row r="55" spans="1:7">
      <c r="A55" s="53" t="s">
        <v>74</v>
      </c>
      <c r="B55">
        <v>137</v>
      </c>
      <c r="C55" cm="1">
        <f t="array" ref="C55:C59">B55:B59</f>
        <v>137</v>
      </c>
      <c r="E55" t="s">
        <v>74</v>
      </c>
      <c r="F55">
        <f>VLOOKUP(E55,A55:B59,2,FALSE)</f>
        <v>137</v>
      </c>
      <c r="G55" t="str">
        <f>IF(F55=MAX(F$55:F$59),F55,"")</f>
        <v/>
      </c>
    </row>
    <row r="56" spans="1:7">
      <c r="A56" s="53" t="s">
        <v>75</v>
      </c>
      <c r="B56">
        <v>184</v>
      </c>
      <c r="C56">
        <v>184</v>
      </c>
      <c r="E56" t="s">
        <v>75</v>
      </c>
      <c r="F56">
        <f t="shared" ref="F56:F59" si="0">VLOOKUP(E56,A56:B60,2,FALSE)</f>
        <v>184</v>
      </c>
      <c r="G56" t="str">
        <f t="shared" ref="G56:G59" si="1">IF(F56=MAX(F$55:F$59),F56,"")</f>
        <v/>
      </c>
    </row>
    <row r="57" spans="1:7">
      <c r="A57" s="53" t="s">
        <v>76</v>
      </c>
      <c r="B57">
        <v>142</v>
      </c>
      <c r="C57">
        <v>142</v>
      </c>
      <c r="E57" t="s">
        <v>76</v>
      </c>
      <c r="F57">
        <f t="shared" si="0"/>
        <v>142</v>
      </c>
      <c r="G57" t="str">
        <f t="shared" si="1"/>
        <v/>
      </c>
    </row>
    <row r="58" spans="1:7">
      <c r="A58" s="53" t="s">
        <v>77</v>
      </c>
      <c r="B58">
        <v>106</v>
      </c>
      <c r="C58">
        <v>106</v>
      </c>
      <c r="E58" t="s">
        <v>77</v>
      </c>
      <c r="F58">
        <f t="shared" si="0"/>
        <v>106</v>
      </c>
      <c r="G58" t="str">
        <f t="shared" si="1"/>
        <v/>
      </c>
    </row>
    <row r="59" spans="1:7">
      <c r="A59" s="53" t="s">
        <v>78</v>
      </c>
      <c r="B59">
        <v>423</v>
      </c>
      <c r="C59">
        <v>423</v>
      </c>
      <c r="E59" t="s">
        <v>78</v>
      </c>
      <c r="F59">
        <f t="shared" si="0"/>
        <v>423</v>
      </c>
      <c r="G59">
        <f t="shared" si="1"/>
        <v>423</v>
      </c>
    </row>
    <row r="60" spans="1:7">
      <c r="A60" s="53" t="s">
        <v>68</v>
      </c>
      <c r="B60">
        <v>992</v>
      </c>
      <c r="F60"/>
    </row>
    <row r="61" spans="1:7">
      <c r="F61"/>
    </row>
    <row r="62" spans="1:7">
      <c r="F62"/>
    </row>
    <row r="63" spans="1:7">
      <c r="F63"/>
    </row>
    <row r="64" spans="1:7">
      <c r="A64" s="49" t="s">
        <v>80</v>
      </c>
      <c r="B64" t="s">
        <v>83</v>
      </c>
      <c r="C64" t="s">
        <v>70</v>
      </c>
      <c r="F64"/>
    </row>
    <row r="65" spans="1:7">
      <c r="A65" s="53" t="s">
        <v>74</v>
      </c>
      <c r="B65">
        <v>71</v>
      </c>
      <c r="C65">
        <v>71</v>
      </c>
      <c r="E65" t="s">
        <v>74</v>
      </c>
      <c r="F65">
        <f>VLOOKUP(E65,A65:B69,2,FALSE)</f>
        <v>71</v>
      </c>
      <c r="G65" t="str">
        <f>IF(F65=MAX(F$65:F$69),F65,"")</f>
        <v/>
      </c>
    </row>
    <row r="66" spans="1:7">
      <c r="A66" s="53" t="s">
        <v>75</v>
      </c>
      <c r="B66">
        <v>100</v>
      </c>
      <c r="C66">
        <v>100</v>
      </c>
      <c r="E66" t="s">
        <v>75</v>
      </c>
      <c r="F66">
        <f t="shared" ref="F66:F69" si="2">VLOOKUP(E66,A66:B70,2,FALSE)</f>
        <v>100</v>
      </c>
      <c r="G66" t="str">
        <f t="shared" ref="G66:G69" si="3">IF(F66=MAX(F$65:F$69),F66,"")</f>
        <v/>
      </c>
    </row>
    <row r="67" spans="1:7">
      <c r="A67" s="53" t="s">
        <v>76</v>
      </c>
      <c r="B67">
        <v>187</v>
      </c>
      <c r="C67">
        <v>187</v>
      </c>
      <c r="E67" t="s">
        <v>76</v>
      </c>
      <c r="F67">
        <f t="shared" si="2"/>
        <v>187</v>
      </c>
      <c r="G67" t="str">
        <f t="shared" si="3"/>
        <v/>
      </c>
    </row>
    <row r="68" spans="1:7">
      <c r="A68" s="53" t="s">
        <v>77</v>
      </c>
      <c r="B68">
        <v>253</v>
      </c>
      <c r="C68">
        <v>253</v>
      </c>
      <c r="E68" t="s">
        <v>77</v>
      </c>
      <c r="F68">
        <f t="shared" si="2"/>
        <v>253</v>
      </c>
      <c r="G68">
        <f t="shared" si="3"/>
        <v>253</v>
      </c>
    </row>
    <row r="69" spans="1:7">
      <c r="A69" s="53" t="s">
        <v>78</v>
      </c>
      <c r="B69">
        <v>91</v>
      </c>
      <c r="C69">
        <v>91</v>
      </c>
      <c r="E69" t="s">
        <v>78</v>
      </c>
      <c r="F69">
        <f t="shared" si="2"/>
        <v>91</v>
      </c>
      <c r="G69" t="str">
        <f t="shared" si="3"/>
        <v/>
      </c>
    </row>
    <row r="70" spans="1:7">
      <c r="A70" s="53" t="s">
        <v>68</v>
      </c>
      <c r="B70">
        <v>702</v>
      </c>
      <c r="C70">
        <v>702</v>
      </c>
      <c r="F70"/>
    </row>
    <row r="71" spans="1:7">
      <c r="F71"/>
    </row>
    <row r="72" spans="1:7">
      <c r="F72"/>
    </row>
    <row r="73" spans="1:7">
      <c r="F73"/>
    </row>
    <row r="74" spans="1:7">
      <c r="F74"/>
    </row>
    <row r="75" spans="1:7">
      <c r="A75" s="49" t="s">
        <v>80</v>
      </c>
      <c r="B75" t="s">
        <v>84</v>
      </c>
      <c r="C75" t="s">
        <v>71</v>
      </c>
      <c r="F75"/>
    </row>
    <row r="76" spans="1:7">
      <c r="A76" s="53" t="s">
        <v>74</v>
      </c>
      <c r="B76" s="54">
        <v>51548</v>
      </c>
      <c r="C76" s="54">
        <v>51548</v>
      </c>
      <c r="F76"/>
    </row>
    <row r="77" spans="1:7">
      <c r="A77" s="53" t="s">
        <v>75</v>
      </c>
      <c r="B77" s="54">
        <v>76664.399999999994</v>
      </c>
      <c r="C77" s="54">
        <v>76664.399999999994</v>
      </c>
      <c r="F77"/>
    </row>
    <row r="78" spans="1:7">
      <c r="A78" s="53" t="s">
        <v>76</v>
      </c>
      <c r="B78" s="54">
        <v>38248</v>
      </c>
      <c r="C78" s="54">
        <v>38248</v>
      </c>
      <c r="F78"/>
    </row>
    <row r="79" spans="1:7">
      <c r="A79" s="53" t="s">
        <v>77</v>
      </c>
      <c r="B79" s="54">
        <v>48081.15</v>
      </c>
      <c r="C79" s="54">
        <v>48081.15</v>
      </c>
      <c r="F79"/>
    </row>
    <row r="80" spans="1:7">
      <c r="A80" s="53" t="s">
        <v>78</v>
      </c>
      <c r="B80" s="54">
        <v>76887.399999999994</v>
      </c>
      <c r="C80" s="54">
        <v>76887.399999999994</v>
      </c>
      <c r="F80"/>
    </row>
    <row r="81" spans="1:6">
      <c r="A81" s="53" t="s">
        <v>68</v>
      </c>
      <c r="B81" s="54">
        <v>291428.95000000007</v>
      </c>
      <c r="C81" s="54">
        <v>291428.95000000007</v>
      </c>
      <c r="F81"/>
    </row>
    <row r="82" spans="1:6">
      <c r="F82"/>
    </row>
    <row r="83" spans="1:6">
      <c r="F83"/>
    </row>
    <row r="84" spans="1:6">
      <c r="F84"/>
    </row>
    <row r="85" spans="1:6">
      <c r="A85" s="49" t="s">
        <v>80</v>
      </c>
      <c r="B85" t="s">
        <v>71</v>
      </c>
      <c r="C85" t="s">
        <v>84</v>
      </c>
      <c r="F85"/>
    </row>
    <row r="86" spans="1:6">
      <c r="A86" s="53" t="s">
        <v>74</v>
      </c>
      <c r="B86" s="55">
        <v>38385.299999999996</v>
      </c>
      <c r="C86" s="55">
        <v>38385.299999999996</v>
      </c>
      <c r="F86"/>
    </row>
    <row r="87" spans="1:6">
      <c r="A87" s="53" t="s">
        <v>75</v>
      </c>
      <c r="B87" s="55">
        <v>60319.5</v>
      </c>
      <c r="C87" s="55">
        <v>60319.5</v>
      </c>
      <c r="F87"/>
    </row>
    <row r="88" spans="1:6">
      <c r="A88" s="53" t="s">
        <v>76</v>
      </c>
      <c r="B88" s="55">
        <v>69065</v>
      </c>
      <c r="C88" s="55">
        <v>69065</v>
      </c>
      <c r="F88"/>
    </row>
    <row r="89" spans="1:6">
      <c r="A89" s="53" t="s">
        <v>77</v>
      </c>
      <c r="B89" s="55">
        <v>74985</v>
      </c>
      <c r="C89" s="55">
        <v>74985</v>
      </c>
      <c r="F89"/>
    </row>
    <row r="90" spans="1:6">
      <c r="A90" s="53" t="s">
        <v>78</v>
      </c>
      <c r="B90" s="55">
        <v>55176.2</v>
      </c>
      <c r="C90" s="55">
        <v>55176.2</v>
      </c>
      <c r="F90"/>
    </row>
    <row r="91" spans="1:6">
      <c r="A91" s="53" t="s">
        <v>68</v>
      </c>
      <c r="B91" s="55">
        <v>297931</v>
      </c>
      <c r="C91" s="55">
        <v>297931</v>
      </c>
      <c r="F91"/>
    </row>
    <row r="92" spans="1:6">
      <c r="F92"/>
    </row>
    <row r="93" spans="1:6">
      <c r="F93"/>
    </row>
    <row r="94" spans="1:6">
      <c r="A94" s="49" t="s">
        <v>80</v>
      </c>
      <c r="B94" s="55" t="s">
        <v>71</v>
      </c>
      <c r="F94"/>
    </row>
    <row r="95" spans="1:6">
      <c r="A95" s="53" t="s">
        <v>61</v>
      </c>
      <c r="B95" s="55">
        <v>35400</v>
      </c>
      <c r="F95"/>
    </row>
    <row r="96" spans="1:6">
      <c r="A96" s="53" t="s">
        <v>51</v>
      </c>
      <c r="B96" s="55">
        <v>42010</v>
      </c>
      <c r="F96"/>
    </row>
    <row r="97" spans="1:6">
      <c r="A97" s="53" t="s">
        <v>66</v>
      </c>
      <c r="B97" s="55">
        <v>129500</v>
      </c>
      <c r="F97"/>
    </row>
    <row r="98" spans="1:6">
      <c r="A98" s="53" t="s">
        <v>68</v>
      </c>
      <c r="B98" s="55">
        <v>206910</v>
      </c>
      <c r="F98"/>
    </row>
    <row r="99" spans="1:6">
      <c r="F99"/>
    </row>
    <row r="100" spans="1:6">
      <c r="A100" s="49" t="s">
        <v>16</v>
      </c>
      <c r="B100" t="s">
        <v>85</v>
      </c>
      <c r="F100"/>
    </row>
    <row r="101" spans="1:6">
      <c r="F101"/>
    </row>
    <row r="102" spans="1:6">
      <c r="A102" s="49" t="s">
        <v>80</v>
      </c>
      <c r="B102" t="s">
        <v>67</v>
      </c>
      <c r="F102"/>
    </row>
    <row r="103" spans="1:6">
      <c r="A103" s="53" t="s">
        <v>61</v>
      </c>
      <c r="B103">
        <v>0</v>
      </c>
      <c r="D103" t="str">
        <f>A103</f>
        <v>Cuisinière CANDY</v>
      </c>
      <c r="E103">
        <f>VLOOKUP(D103,A103:B105,2,FALSE)</f>
        <v>0</v>
      </c>
      <c r="F103" t="str">
        <f>IF(E103=0,"Non disponible","Stock faible")</f>
        <v>Non disponible</v>
      </c>
    </row>
    <row r="104" spans="1:6">
      <c r="A104" s="53" t="s">
        <v>50</v>
      </c>
      <c r="B104">
        <v>2</v>
      </c>
      <c r="D104" t="str">
        <f t="shared" ref="D104:D105" si="4">A104</f>
        <v>NINTENDO SWITCH</v>
      </c>
      <c r="E104">
        <f t="shared" ref="E104:E105" si="5">VLOOKUP(D104,A104:B106,2,FALSE)</f>
        <v>2</v>
      </c>
      <c r="F104" t="str">
        <f t="shared" ref="F104:F105" si="6">IF(E104=0,"Non disponible","Stock faible")</f>
        <v>Stock faible</v>
      </c>
    </row>
    <row r="105" spans="1:6">
      <c r="A105" s="53" t="s">
        <v>64</v>
      </c>
      <c r="B105">
        <v>8</v>
      </c>
      <c r="D105" t="str">
        <f t="shared" si="4"/>
        <v>Réfrigérateur WHIRLPOOL</v>
      </c>
      <c r="E105">
        <f t="shared" si="5"/>
        <v>8</v>
      </c>
      <c r="F105" t="str">
        <f t="shared" si="6"/>
        <v>Stock faible</v>
      </c>
    </row>
    <row r="106" spans="1:6">
      <c r="A106" s="53" t="s">
        <v>68</v>
      </c>
      <c r="B106">
        <v>10</v>
      </c>
      <c r="F106"/>
    </row>
    <row r="107" spans="1:6">
      <c r="F107"/>
    </row>
    <row r="108" spans="1:6">
      <c r="F108"/>
    </row>
    <row r="109" spans="1:6">
      <c r="F109"/>
    </row>
    <row r="110" spans="1:6">
      <c r="F110"/>
    </row>
    <row r="111" spans="1:6">
      <c r="F111"/>
    </row>
    <row r="112" spans="1:6">
      <c r="F112"/>
    </row>
    <row r="113" spans="6:6">
      <c r="F113"/>
    </row>
    <row r="114" spans="6:6">
      <c r="F114"/>
    </row>
    <row r="115" spans="6:6">
      <c r="F115"/>
    </row>
    <row r="116" spans="6:6">
      <c r="F116"/>
    </row>
    <row r="117" spans="6:6">
      <c r="F117"/>
    </row>
    <row r="118" spans="6:6">
      <c r="F118"/>
    </row>
    <row r="119" spans="6:6">
      <c r="F119"/>
    </row>
    <row r="120" spans="6:6">
      <c r="F120"/>
    </row>
    <row r="121" spans="6:6">
      <c r="F121"/>
    </row>
    <row r="122" spans="6:6">
      <c r="F122"/>
    </row>
    <row r="123" spans="6:6">
      <c r="F123"/>
    </row>
    <row r="124" spans="6:6">
      <c r="F124"/>
    </row>
    <row r="125" spans="6:6">
      <c r="F125"/>
    </row>
    <row r="126" spans="6:6">
      <c r="F126"/>
    </row>
    <row r="127" spans="6:6">
      <c r="F127"/>
    </row>
    <row r="128" spans="6:6">
      <c r="F128"/>
    </row>
    <row r="129" spans="6:6">
      <c r="F129"/>
    </row>
    <row r="130" spans="6:6">
      <c r="F130"/>
    </row>
    <row r="131" spans="6:6">
      <c r="F131"/>
    </row>
    <row r="132" spans="6:6">
      <c r="F132"/>
    </row>
  </sheetData>
  <dataConsolidate/>
  <phoneticPr fontId="14" type="noConversion"/>
  <pageMargins left="0.7" right="0.7" top="0.75" bottom="0.75" header="0.3" footer="0.3"/>
  <drawing r:id="rId16"/>
  <tableParts count="3">
    <tablePart r:id="rId17"/>
    <tablePart r:id="rId18"/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1386F5-9FF7-4D23-B53A-FEEFBA46DB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Opérations</vt:lpstr>
      <vt:lpstr>Marchandises</vt:lpstr>
      <vt:lpstr>tableau de board</vt:lpstr>
      <vt:lpstr>Entrées</vt:lpstr>
      <vt:lpstr>Sorties</vt:lpstr>
      <vt:lpstr>Inventaire 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Bahi</dc:creator>
  <cp:lastModifiedBy>cheikh saliou sylla</cp:lastModifiedBy>
  <dcterms:created xsi:type="dcterms:W3CDTF">2015-06-05T18:19:34Z</dcterms:created>
  <dcterms:modified xsi:type="dcterms:W3CDTF">2026-08-16T12:36:09Z</dcterms:modified>
</cp:coreProperties>
</file>